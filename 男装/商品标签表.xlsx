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1080bfea9d4861" /></Relationships>
</file>

<file path=xl/workbook.xml><?xml version="1.0" encoding="utf-8"?>
<x:workbook xmlns:x="http://schemas.openxmlformats.org/spreadsheetml/2006/main">
  <x:sheets>
    <x:sheet xmlns:r="http://schemas.openxmlformats.org/officeDocument/2006/relationships" name="商品数据" sheetId="1" r:id="Re3e61f44016a4ad5"/>
    <x:sheet xmlns:r="http://schemas.openxmlformats.org/officeDocument/2006/relationships" name="口径说明" sheetId="2" r:id="Re5fdf1b758da49a4"/>
    <x:sheet xmlns:r="http://schemas.openxmlformats.org/officeDocument/2006/relationships" name="统计概览" sheetId="3" r:id="Rea3f4ec143e948d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0.00"/>
    <x:numFmt numFmtId="203" formatCode="@"/>
  </x:numFmts>
  <x:fonts count="5">
    <x:font>
      <x:sz val="11"/>
      <x:name val="Carlito"/>
    </x:font>
    <x:font>
      <x:b/>
      <x:sz val="16"/>
      <x:color rgb="FFFFFFFF"/>
      <x:name val="Carlito"/>
    </x:font>
    <x:font>
      <x:i/>
      <x:sz val="10"/>
      <x:color rgb="FF2F4F63"/>
      <x:name val="Carlito"/>
    </x:font>
    <x:font>
      <x:b/>
      <x:sz val="11"/>
      <x:color rgb="FFFFFFFF"/>
      <x:name val="Carlito"/>
    </x:font>
    <x:font>
      <x:b/>
      <x:sz val="15"/>
      <x:color rgb="FFFFFFFF"/>
      <x:name val="Carlito"/>
    </x:font>
  </x:fonts>
  <x:fills count="9">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5B9BD5"/>
      </x:patternFill>
    </x:fill>
    <x:fill>
      <x:patternFill patternType="solid">
        <x:fgColor rgb="FF70AD47"/>
      </x:patternFill>
    </x:fill>
    <x:fill>
      <x:patternFill patternType="solid">
        <x:fgColor rgb="FF17365D"/>
      </x:patternFill>
    </x:fill>
    <x:fill>
      <x:patternFill patternType="solid">
        <x:fgColor rgb="FF17365D"/>
      </x:patternFill>
    </x:fill>
    <x:fill>
      <x:patternFill patternType="solid">
        <x:fgColor rgb="FF17365D"/>
      </x:patternFill>
    </x:fill>
  </x:fills>
  <x:borders count="11">
    <x:border/>
    <x:border>
      <x:left style="medium">
        <x:color rgb="FF2F5597"/>
      </x:left>
      <x:top style="medium">
        <x:color rgb="FF2F5597"/>
      </x:top>
      <x:bottom style="medium">
        <x:color rgb="FF2F5597"/>
      </x:bottom>
    </x:border>
    <x:border>
      <x:top style="medium">
        <x:color rgb="FF2F5597"/>
      </x:top>
      <x:bottom style="medium">
        <x:color rgb="FF2F5597"/>
      </x:bottom>
    </x:border>
    <x:border>
      <x:right style="medium">
        <x:color rgb="FF2F5597"/>
      </x:right>
      <x:top style="medium">
        <x:color rgb="FF2F5597"/>
      </x:top>
      <x:bottom style="medium">
        <x:color rgb="FF2F5597"/>
      </x:bottom>
    </x:border>
    <x:border>
      <x:bottom style="thin">
        <x:color rgb="FFD9E2F3"/>
      </x:bottom>
    </x:border>
    <x:border>
      <x:top style="thin">
        <x:color rgb="FFD9E2F3"/>
      </x:top>
      <x:bottom style="thin">
        <x:color rgb="FFD9E2F3"/>
      </x:bottom>
    </x:border>
    <x:border>
      <x:bottom style="thin">
        <x:color rgb="FFE2F0D9"/>
      </x:bottom>
    </x:border>
    <x:border>
      <x:top style="thin">
        <x:color rgb="FFE2F0D9"/>
      </x:top>
      <x:bottom style="thin">
        <x:color rgb="FFE2F0D9"/>
      </x:bottom>
    </x:border>
    <x:border>
      <x:bottom style="thin">
        <x:color rgb="FFD9E2F0"/>
      </x:bottom>
    </x:border>
    <x:border>
      <x:top style="thin">
        <x:color rgb="FFD9E2F0"/>
      </x:top>
      <x:bottom style="thin">
        <x:color rgb="FFD9E2F0"/>
      </x:bottom>
    </x:border>
    <x:border>
      <x:top style="thin">
        <x:color rgb="FFD9E2F0"/>
      </x:top>
      <x:bottom style="thin">
        <x:color rgb="FFD9E2F3"/>
      </x:bottom>
    </x:border>
  </x:borders>
  <x:cellStyleXfs count="1">
    <x:xf numFmtId="0" fontId="0" fillId="0" borderId="0"/>
  </x:cellStyleXfs>
  <x:cellXfs count="9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5"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200" fontId="0" fillId="0" borderId="4" xfId="0" applyNumberFormat="1" applyFont="1" applyFill="1" applyBorder="1" applyAlignment="1">
      <x:alignment vertical="center" wrapText="1"/>
    </x:xf>
    <x:xf numFmtId="200" fontId="0" fillId="0" borderId="5" xfId="0" applyNumberFormat="1" applyFont="1" applyFill="1" applyBorder="1" applyAlignment="1">
      <x:alignment vertical="center" wrapText="1"/>
    </x:xf>
    <x:xf numFmtId="200" fontId="0" fillId="0" borderId="4" xfId="0" applyNumberFormat="1" applyFont="1" applyFill="1" applyBorder="1" applyAlignment="1">
      <x:alignment horizontal="right" vertical="center" wrapText="1"/>
    </x:xf>
    <x:xf numFmtId="200" fontId="0" fillId="0" borderId="5" xfId="0" applyNumberFormat="1" applyFont="1" applyFill="1" applyBorder="1" applyAlignment="1">
      <x:alignment horizontal="right" vertical="center" wrapText="1"/>
    </x:xf>
    <x:xf numFmtId="201" fontId="0" fillId="0" borderId="4" xfId="0" applyNumberFormat="1" applyFont="1" applyFill="1" applyBorder="1" applyAlignment="1">
      <x:alignment vertical="center" wrapText="1"/>
    </x:xf>
    <x:xf numFmtId="201" fontId="0" fillId="0" borderId="5" xfId="0" applyNumberFormat="1" applyFont="1" applyFill="1" applyBorder="1" applyAlignment="1">
      <x:alignment vertical="center" wrapText="1"/>
    </x:xf>
    <x:xf numFmtId="0" fontId="0" fillId="0" borderId="4" xfId="0" applyNumberFormat="1" applyFont="1" applyFill="1" applyBorder="1" applyAlignment="1">
      <x:alignment horizontal="center" vertical="center" wrapText="1"/>
    </x:xf>
    <x:xf numFmtId="200" fontId="0" fillId="0" borderId="4" xfId="0" applyNumberFormat="1" applyFont="1" applyFill="1" applyBorder="1" applyAlignment="1">
      <x:alignment horizontal="center" vertical="center" wrapText="1"/>
    </x:xf>
    <x:xf numFmtId="0" fontId="0" fillId="0" borderId="5" xfId="0" applyNumberFormat="1" applyFont="1" applyFill="1" applyBorder="1" applyAlignment="1">
      <x:alignment horizontal="center" vertical="center" wrapText="1"/>
    </x:xf>
    <x:xf numFmtId="200" fontId="0" fillId="0" borderId="5" xfId="0" applyNumberFormat="1" applyFont="1" applyFill="1" applyBorder="1" applyAlignment="1">
      <x:alignment horizontal="center" vertical="center" wrapText="1"/>
    </x:xf>
    <x:xf numFmtId="201" fontId="0" fillId="0" borderId="4" xfId="0" applyNumberFormat="1" applyFont="1" applyFill="1" applyBorder="1" applyAlignment="1">
      <x:alignment horizontal="center" vertical="center" wrapText="1"/>
    </x:xf>
    <x:xf numFmtId="201" fontId="0" fillId="0" borderId="5" xfId="0" applyNumberFormat="1" applyFont="1" applyFill="1" applyBorder="1" applyAlignment="1">
      <x:alignment horizontal="center" vertical="center"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0" fillId="0" borderId="6" xfId="0" applyNumberFormat="1" applyFont="1" applyFill="1" applyBorder="1"/>
    <x:xf numFmtId="0" fontId="0" fillId="0" borderId="7" xfId="0" applyNumberFormat="1" applyFont="1" applyFill="1" applyBorder="1"/>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6" xfId="0" applyNumberFormat="1" applyFont="1" applyFill="1" applyBorder="1" applyAlignment="1">
      <x:alignment horizontal="center" vertical="center" wrapText="1"/>
    </x:xf>
    <x:xf numFmtId="0" fontId="0" fillId="0" borderId="7" xfId="0" applyNumberFormat="1" applyFont="1" applyFill="1" applyBorder="1" applyAlignment="1">
      <x:alignment horizontal="center" vertical="center" wrapText="1"/>
    </x:xf>
    <x:xf numFmtId="0" fontId="3" fillId="4" borderId="0" xfId="0" applyNumberFormat="1" applyFont="1" applyFill="1" applyBorder="1" applyAlignment="1">
      <x:alignment horizontal="center"/>
    </x:xf>
    <x:xf numFmtId="0" fontId="3" fillId="5" borderId="0" xfId="0" applyNumberFormat="1" applyFont="1" applyFill="1" applyBorder="1" applyAlignment="1">
      <x:alignment horizontal="center"/>
    </x:xf>
    <x:xf numFmtId="0" fontId="0" fillId="0" borderId="4" xfId="0" applyNumberFormat="1" applyFont="1" applyFill="1" applyBorder="1" applyAlignment="1">
      <x:alignment vertical="center"/>
    </x:xf>
    <x:xf numFmtId="0" fontId="0" fillId="0" borderId="5" xfId="0" applyNumberFormat="1" applyFont="1" applyFill="1" applyBorder="1" applyAlignment="1">
      <x:alignment vertical="center"/>
    </x:xf>
    <x:xf numFmtId="0" fontId="0" fillId="0" borderId="6" xfId="0" applyNumberFormat="1" applyFont="1" applyFill="1" applyBorder="1" applyAlignment="1">
      <x:alignment vertical="center"/>
    </x:xf>
    <x:xf numFmtId="0" fontId="0" fillId="0" borderId="7" xfId="0" applyNumberFormat="1" applyFont="1" applyFill="1" applyBorder="1" applyAlignment="1">
      <x:alignment vertical="center"/>
    </x:xf>
    <x:xf numFmtId="202" fontId="0" fillId="0" borderId="4" xfId="0" applyNumberFormat="1" applyFont="1" applyFill="1" applyBorder="1" applyAlignment="1">
      <x:alignment horizontal="center" vertical="center" wrapText="1"/>
    </x:xf>
    <x:xf numFmtId="202" fontId="0" fillId="0" borderId="5" xfId="0" applyNumberFormat="1" applyFont="1" applyFill="1" applyBorder="1" applyAlignment="1">
      <x:alignment horizontal="center" vertical="center" wrapText="1"/>
    </x:xf>
    <x:xf numFmtId="202" fontId="0" fillId="0" borderId="0" xfId="0" applyNumberFormat="1" applyFont="1" applyFill="1" applyBorder="1"/>
    <x:xf numFmtId="203" fontId="0" fillId="0" borderId="4" xfId="0" applyNumberFormat="1" applyFont="1" applyFill="1" applyBorder="1" applyAlignment="1">
      <x:alignment horizontal="center" vertical="center" wrapText="1"/>
    </x:xf>
    <x:xf numFmtId="203" fontId="0" fillId="0" borderId="5" xfId="0" applyNumberFormat="1" applyFont="1" applyFill="1" applyBorder="1" applyAlignment="1">
      <x:alignment horizontal="center" vertical="center" wrapText="1"/>
    </x:xf>
    <x:xf numFmtId="203" fontId="0" fillId="0" borderId="0" xfId="0" applyNumberFormat="1" applyFont="1" applyFill="1" applyBorder="1"/>
    <x:xf numFmtId="0" fontId="0" fillId="0" borderId="0" xfId="0" applyNumberFormat="1" applyFont="1" applyFill="1" applyBorder="1" applyAlignment="1">
      <x:alignment vertical="center"/>
    </x:xf>
    <x:xf numFmtId="202" fontId="0" fillId="0" borderId="0" xfId="0" applyNumberFormat="1" applyFont="1" applyFill="1" applyBorder="1" applyAlignment="1">
      <x:alignment vertical="center"/>
    </x:xf>
    <x:xf numFmtId="203" fontId="0" fillId="0" borderId="0" xfId="0" applyNumberFormat="1" applyFont="1" applyFill="1" applyBorder="1" applyAlignment="1">
      <x:alignment vertical="center"/>
    </x:xf>
    <x:xf numFmtId="0" fontId="0" fillId="0" borderId="8" xfId="0" applyNumberFormat="1" applyFont="1" applyFill="1" applyBorder="1" applyAlignment="1">
      <x:alignment vertical="center" wrapText="1"/>
    </x:xf>
    <x:xf numFmtId="0" fontId="0" fillId="0" borderId="8" xfId="0" applyNumberFormat="1" applyFont="1" applyFill="1" applyBorder="1" applyAlignment="1">
      <x:alignment horizontal="center" vertical="center" wrapText="1"/>
    </x:xf>
    <x:xf numFmtId="202" fontId="0" fillId="0" borderId="8" xfId="0" applyNumberFormat="1" applyFont="1" applyFill="1" applyBorder="1" applyAlignment="1">
      <x:alignment horizontal="center" vertical="center" wrapText="1"/>
    </x:xf>
    <x:xf numFmtId="203" fontId="0" fillId="0" borderId="8" xfId="0" applyNumberFormat="1" applyFont="1" applyFill="1" applyBorder="1" applyAlignment="1">
      <x:alignment horizontal="center" vertical="center" wrapText="1"/>
    </x:xf>
    <x:xf numFmtId="0" fontId="0" fillId="0" borderId="9" xfId="0" applyNumberFormat="1" applyFont="1" applyFill="1" applyBorder="1" applyAlignment="1">
      <x:alignment vertical="center" wrapText="1"/>
    </x:xf>
    <x:xf numFmtId="0" fontId="0" fillId="0" borderId="9" xfId="0" applyNumberFormat="1" applyFont="1" applyFill="1" applyBorder="1" applyAlignment="1">
      <x:alignment horizontal="center" vertical="center" wrapText="1"/>
    </x:xf>
    <x:xf numFmtId="202" fontId="0" fillId="0" borderId="9" xfId="0" applyNumberFormat="1" applyFont="1" applyFill="1" applyBorder="1" applyAlignment="1">
      <x:alignment horizontal="center" vertical="center" wrapText="1"/>
    </x:xf>
    <x:xf numFmtId="203" fontId="0" fillId="0" borderId="9" xfId="0" applyNumberFormat="1" applyFont="1" applyFill="1" applyBorder="1" applyAlignment="1">
      <x:alignment horizontal="center" vertical="center" wrapText="1"/>
    </x:xf>
    <x:xf numFmtId="0" fontId="0" fillId="0" borderId="9" xfId="0" applyNumberFormat="1" applyFont="1" applyFill="1" applyBorder="1" applyAlignment="1">
      <x:alignment vertical="center"/>
    </x:xf>
    <x:xf numFmtId="202" fontId="0" fillId="0" borderId="9" xfId="0" applyNumberFormat="1" applyFont="1" applyFill="1" applyBorder="1" applyAlignment="1">
      <x:alignment vertical="center"/>
    </x:xf>
    <x:xf numFmtId="203" fontId="0" fillId="0" borderId="9" xfId="0" applyNumberFormat="1" applyFont="1" applyFill="1" applyBorder="1" applyAlignment="1">
      <x:alignment vertical="center"/>
    </x:xf>
    <x:xf numFmtId="0" fontId="0" fillId="0" borderId="10" xfId="0" applyNumberFormat="1" applyFont="1" applyFill="1" applyBorder="1" applyAlignment="1">
      <x:alignment vertical="center"/>
    </x:xf>
    <x:xf numFmtId="202" fontId="0" fillId="0" borderId="10" xfId="0" applyNumberFormat="1" applyFont="1" applyFill="1" applyBorder="1" applyAlignment="1">
      <x:alignment vertical="center"/>
    </x:xf>
    <x:xf numFmtId="203" fontId="0" fillId="0" borderId="10" xfId="0" applyNumberFormat="1" applyFont="1" applyFill="1" applyBorder="1" applyAlignment="1">
      <x:alignment vertical="center"/>
    </x:xf>
    <x:xf numFmtId="0" fontId="4" fillId="6" borderId="0" xfId="0" applyNumberFormat="1" applyFont="1" applyFill="1" applyBorder="1" applyAlignment="1">
      <x:alignment horizontal="center"/>
    </x:xf>
    <x:xf numFmtId="0" fontId="4" fillId="6" borderId="0" xfId="0" applyNumberFormat="1" applyFont="1" applyFill="1" applyBorder="1" applyAlignment="1">
      <x:alignment horizontal="center" vertical="center"/>
    </x:xf>
    <x:xf numFmtId="0" fontId="4" fillId="7" borderId="0" xfId="0" applyNumberFormat="1" applyFont="1" applyFill="1" applyBorder="1" applyAlignment="1">
      <x:alignment horizontal="center" vertical="center"/>
    </x:xf>
    <x:xf numFmtId="201" fontId="0" fillId="0" borderId="8" xfId="0" applyNumberFormat="1" applyFont="1" applyFill="1" applyBorder="1" applyAlignment="1">
      <x:alignment horizontal="center" vertical="center" wrapText="1"/>
    </x:xf>
    <x:xf numFmtId="201" fontId="0" fillId="0" borderId="9" xfId="0" applyNumberFormat="1" applyFont="1" applyFill="1" applyBorder="1" applyAlignment="1">
      <x:alignment horizontal="center" vertical="center" wrapText="1"/>
    </x:xf>
    <x:xf numFmtId="201" fontId="0" fillId="0" borderId="9" xfId="0" applyNumberFormat="1" applyFont="1" applyFill="1" applyBorder="1" applyAlignment="1">
      <x:alignment vertical="center"/>
    </x:xf>
    <x:xf numFmtId="0" fontId="4" fillId="8" borderId="0"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cc88c8f354f4b6a" /><Relationship Type="http://schemas.openxmlformats.org/officeDocument/2006/relationships/theme" Target="/xl/theme/theme1.xml" Id="R5a776eecc09e4d3d" /><Relationship Type="http://schemas.openxmlformats.org/officeDocument/2006/relationships/sharedStrings" Target="/xl/sharedStrings.xml" Id="R2b6c11e2f72c4050" /><Relationship Type="http://schemas.openxmlformats.org/officeDocument/2006/relationships/worksheet" Target="/xl/worksheets/sheet1.xml" Id="Re3e61f44016a4ad5" /><Relationship Type="http://schemas.openxmlformats.org/officeDocument/2006/relationships/worksheet" Target="/xl/worksheets/sheet2.xml" Id="Re5fdf1b758da49a4" /><Relationship Type="http://schemas.openxmlformats.org/officeDocument/2006/relationships/worksheet" Target="/xl/worksheets/sheet3.xml" Id="Rea3f4ec143e948d8" /></Relationships>
</file>

<file path=xl/tables/table1.xml><?xml version="1.0" encoding="utf-8"?>
<x:table xmlns:x="http://schemas.openxmlformats.org/spreadsheetml/2006/main" id="1" name="ProductCatalogTable" displayName="ProductCatalogTable" ref="A4:R54" headerRowCount="1" totalsRowCount="0" totalsRowShown="0">
  <x:autoFilter ref="A4:R54"/>
  <x:tableColumns count="18">
    <x:tableColumn id="1" name="商品名"/>
    <x:tableColumn id="2" name="一级分类"/>
    <x:tableColumn id="3" name="二级分类"/>
    <x:tableColumn id="4" name="颜色"/>
    <x:tableColumn id="5" name="尺码"/>
    <x:tableColumn id="6" name="价格（元）"/>
    <x:tableColumn id="7" name="面料/版型"/>
    <x:tableColumn id="8" name="一句话"/>
    <x:tableColumn id="9" name="长度"/>
    <x:tableColumn id="10" name="数据性质"/>
    <x:tableColumn id="11" name="图片文件名"/>
    <x:tableColumn id="12" name="图片相对路径"/>
    <x:tableColumn id="13" name="商品ID"/>
    <x:tableColumn id="14" name="原始商品标题"/>
    <x:tableColumn id="15" name="来源商品链接"/>
    <x:tableColumn id="16" name="图片来源"/>
    <x:tableColumn id="17" name="采集图片地址"/>
    <x:tableColumn id="18" name="评测分组"/>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fe7e0e573b04cd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0" hidden="0" customWidth="1"/>
    <x:col min="3" max="3" width="14" hidden="0" customWidth="1"/>
    <x:col min="4" max="4" width="13" hidden="0" customWidth="1"/>
    <x:col min="5" max="5" width="18" hidden="0" customWidth="1"/>
    <x:col min="6" max="6" width="12" hidden="0" customWidth="1"/>
    <x:col min="7" max="7" width="26" hidden="0" customWidth="1"/>
    <x:col min="8" max="8" width="34" hidden="0" customWidth="1"/>
    <x:col min="9" max="9" width="10" hidden="0" customWidth="1"/>
    <x:col min="10" max="10" width="32" hidden="0" customWidth="1"/>
    <x:col min="11" max="11" width="24" hidden="0" customWidth="1"/>
    <x:col min="12" max="12" width="34" hidden="0" customWidth="1"/>
    <x:col min="13" max="13" width="18" hidden="0" customWidth="1"/>
    <x:col min="14" max="14" width="48" hidden="0" customWidth="1"/>
    <x:col min="15" max="15" width="34" hidden="0" customWidth="1"/>
    <x:col min="16" max="16" width="16" hidden="0" customWidth="1"/>
    <x:col min="17" max="17" width="44" hidden="0" customWidth="1"/>
    <x:col min="18" max="18" width="38" hidden="0" customWidth="1"/>
  </x:cols>
  <x:sheetData>
    <x:row r="1" ht="32" customHeight="1">
      <x:c r="A1" s="4" t="str">
        <x:v>男装商品数据与视觉评测标签表</x:v>
      </x:c>
      <x:c r="B1" s="4"/>
      <x:c r="C1" s="4"/>
      <x:c r="D1" s="4"/>
      <x:c r="E1" s="4"/>
      <x:c r="F1" s="4"/>
      <x:c r="G1" s="4"/>
      <x:c r="H1" s="4"/>
      <x:c r="I1" s="4"/>
      <x:c r="J1" s="4"/>
      <x:c r="K1" s="4"/>
      <x:c r="L1" s="4"/>
      <x:c r="M1" s="4"/>
      <x:c r="N1" s="4"/>
      <x:c r="O1" s="4"/>
      <x:c r="P1" s="4"/>
      <x:c r="Q1" s="4"/>
      <x:c r="R1" s="4"/>
    </x:row>
    <x:row r="2" ht="24" customHeight="1">
      <x:c r="A2" s="8" t="str">
        <x:v>共 50 件男装；标题、价格、主图来自淘宝搜索页，颜色、尺码、面料等字段为人工规范化补齐。</x:v>
      </x:c>
      <x:c r="B2" s="8"/>
      <x:c r="C2" s="8"/>
      <x:c r="D2" s="8"/>
      <x:c r="E2" s="8"/>
      <x:c r="F2" s="8"/>
      <x:c r="G2" s="8"/>
      <x:c r="H2" s="8"/>
      <x:c r="I2" s="8"/>
      <x:c r="J2" s="8"/>
      <x:c r="K2" s="8"/>
      <x:c r="L2" s="8"/>
      <x:c r="M2" s="8"/>
      <x:c r="N2" s="8"/>
      <x:c r="O2" s="8"/>
      <x:c r="P2" s="8"/>
      <x:c r="Q2" s="8"/>
      <x:c r="R2" s="8"/>
    </x:row>
    <x:row r="4" ht="30" customHeight="1">
      <x:c r="A4" s="20" t="str">
        <x:v>商品名</x:v>
      </x:c>
      <x:c r="B4" s="21" t="str">
        <x:v>一级分类</x:v>
      </x:c>
      <x:c r="C4" s="21" t="str">
        <x:v>二级分类</x:v>
      </x:c>
      <x:c r="D4" s="21" t="str">
        <x:v>颜色</x:v>
      </x:c>
      <x:c r="E4" s="21" t="str">
        <x:v>尺码</x:v>
      </x:c>
      <x:c r="F4" s="21" t="str">
        <x:v>价格（元）</x:v>
      </x:c>
      <x:c r="G4" s="21" t="str">
        <x:v>面料/版型</x:v>
      </x:c>
      <x:c r="H4" s="21" t="str">
        <x:v>一句话</x:v>
      </x:c>
      <x:c r="I4" s="21" t="str">
        <x:v>长度</x:v>
      </x:c>
      <x:c r="J4" s="21" t="str">
        <x:v>数据性质</x:v>
      </x:c>
      <x:c r="K4" s="21" t="str">
        <x:v>图片文件名</x:v>
      </x:c>
      <x:c r="L4" s="21" t="str">
        <x:v>图片相对路径</x:v>
      </x:c>
      <x:c r="M4" s="21" t="str">
        <x:v>商品ID</x:v>
      </x:c>
      <x:c r="N4" s="21" t="str">
        <x:v>原始商品标题</x:v>
      </x:c>
      <x:c r="O4" s="21" t="str">
        <x:v>来源商品链接</x:v>
      </x:c>
      <x:c r="P4" s="21" t="str">
        <x:v>图片来源</x:v>
      </x:c>
      <x:c r="Q4" s="21" t="str">
        <x:v>采集图片地址</x:v>
      </x:c>
      <x:c r="R4" s="22" t="str">
        <x:v>评测分组</x:v>
      </x:c>
    </x:row>
    <x:row r="5" ht="26" customHeight="1">
      <x:c r="A5" s="73" t="str">
        <x:v>V领短袖T恤</x:v>
      </x:c>
      <x:c r="B5" s="74" t="str">
        <x:v>上装</x:v>
      </x:c>
      <x:c r="C5" s="74" t="str">
        <x:v>T恤</x:v>
      </x:c>
      <x:c r="D5" s="74" t="str">
        <x:v>黑色</x:v>
      </x:c>
      <x:c r="E5" s="74" t="str">
        <x:v>M/L/XL</x:v>
      </x:c>
      <x:c r="F5" s="75" t="n">
        <x:v>99</x:v>
      </x:c>
      <x:c r="G5" s="73" t="str">
        <x:v>棉混纺，宽松版型</x:v>
      </x:c>
      <x:c r="H5" s="73" t="str">
        <x:v>V领短袖T恤，棉混纺，宽松版型</x:v>
      </x:c>
      <x:c r="I5" s="74" t="str"/>
      <x:c r="J5" s="74" t="str">
        <x:v>演示商品（标题/价格/主图来自淘宝搜索页，颜色/尺码/面料为规范化补齐）</x:v>
      </x:c>
      <x:c r="K5" s="74" t="str">
        <x:v>SKU_1015901232400.jpg</x:v>
      </x:c>
      <x:c r="L5" s="74" t="str">
        <x:v>T恤/SKU_1015901232400.jpg</x:v>
      </x:c>
      <x:c r="M5" s="90" t="n">
        <x:v>1015901232400</x:v>
      </x:c>
      <x:c r="N5" s="73" t="str">
        <x:v>NEVERNEED假两件V领短袖T恤男女...</x:v>
      </x:c>
      <x:c r="O5" s="73" t="str">
        <x:v>https://item.taobao.com/item.htm?id=1015901232400</x:v>
      </x:c>
      <x:c r="P5" s="73" t="str">
        <x:v>淘宝搜索页主图</x:v>
      </x:c>
      <x:c r="Q5" s="73" t="str">
        <x:v>https://img.alicdn.com/bao/uploaded/i3/3978958523/O1CN01QJmFf52Cpan1F3wpv_!!3978958523.jpg</x:v>
      </x:c>
      <x:c r="R5" s="73" t="str">
        <x:v>基础</x:v>
      </x:c>
    </x:row>
    <x:row r="6" ht="26" customHeight="1">
      <x:c r="A6" s="77" t="str">
        <x:v>刺绣圆领短袖T恤</x:v>
      </x:c>
      <x:c r="B6" s="78" t="str">
        <x:v>上装</x:v>
      </x:c>
      <x:c r="C6" s="78" t="str">
        <x:v>T恤</x:v>
      </x:c>
      <x:c r="D6" s="78" t="str">
        <x:v>白色</x:v>
      </x:c>
      <x:c r="E6" s="78" t="str">
        <x:v>M/L/XL/2XL</x:v>
      </x:c>
      <x:c r="F6" s="79" t="n">
        <x:v>89</x:v>
      </x:c>
      <x:c r="G6" s="77" t="str">
        <x:v>冰丝棉，宽松版型</x:v>
      </x:c>
      <x:c r="H6" s="77" t="str">
        <x:v>刺绣圆领短袖T恤，冰丝棉，宽松版型</x:v>
      </x:c>
      <x:c r="I6" s="78" t="str"/>
      <x:c r="J6" s="78" t="str">
        <x:v>演示商品（标题/价格/主图来自淘宝搜索页，颜色/尺码/面料为规范化补齐）</x:v>
      </x:c>
      <x:c r="K6" s="78" t="str">
        <x:v>SKU_913197977495.jpg</x:v>
      </x:c>
      <x:c r="L6" s="78" t="str">
        <x:v>T恤/SKU_913197977495.jpg</x:v>
      </x:c>
      <x:c r="M6" s="91" t="n">
        <x:v>913197977495</x:v>
      </x:c>
      <x:c r="N6" s="77" t="str">
        <x:v>液氨棉刺绣冰丝短袖t恤男夏季2026新款...</x:v>
      </x:c>
      <x:c r="O6" s="77" t="str">
        <x:v>https://item.taobao.com/item.htm?id=913197977495</x:v>
      </x:c>
      <x:c r="P6" s="77" t="str">
        <x:v>淘宝搜索页主图</x:v>
      </x:c>
      <x:c r="Q6" s="77" t="str">
        <x:v>http://img.alicdn.com/img/O1CN01sS3DZ71d8zKB0FQX9_!!2955883692.jpg</x:v>
      </x:c>
      <x:c r="R6" s="77" t="str">
        <x:v>基础</x:v>
      </x:c>
    </x:row>
    <x:row r="7" ht="26" customHeight="1">
      <x:c r="A7" s="77" t="str">
        <x:v>撞色条纹长袖T恤</x:v>
      </x:c>
      <x:c r="B7" s="78" t="str">
        <x:v>上装</x:v>
      </x:c>
      <x:c r="C7" s="78" t="str">
        <x:v>T恤</x:v>
      </x:c>
      <x:c r="D7" s="78" t="str">
        <x:v>黑白条纹</x:v>
      </x:c>
      <x:c r="E7" s="78" t="str">
        <x:v>M/L/XL</x:v>
      </x:c>
      <x:c r="F7" s="79" t="n">
        <x:v>79</x:v>
      </x:c>
      <x:c r="G7" s="77" t="str">
        <x:v>纯棉，宽松版型</x:v>
      </x:c>
      <x:c r="H7" s="77" t="str">
        <x:v>撞色条纹长袖T恤，纯棉，宽松版型</x:v>
      </x:c>
      <x:c r="I7" s="78" t="str"/>
      <x:c r="J7" s="78" t="str">
        <x:v>演示商品（标题/价格/主图来自淘宝搜索页，颜色/尺码/面料为规范化补齐）</x:v>
      </x:c>
      <x:c r="K7" s="78" t="str">
        <x:v>SKU_957462091234.jpg</x:v>
      </x:c>
      <x:c r="L7" s="78" t="str">
        <x:v>T恤/SKU_957462091234.jpg</x:v>
      </x:c>
      <x:c r="M7" s="91" t="n">
        <x:v>957462091234</x:v>
      </x:c>
      <x:c r="N7" s="77" t="str">
        <x:v>江南先生NewJNXS高克重纯棉撞色条纹...</x:v>
      </x:c>
      <x:c r="O7" s="77" t="str">
        <x:v>https://item.taobao.com/item.htm?id=957462091234</x:v>
      </x:c>
      <x:c r="P7" s="77" t="str">
        <x:v>淘宝搜索页主图</x:v>
      </x:c>
      <x:c r="Q7" s="77" t="str">
        <x:v>http://img.alicdn.com/img/O1CN01R3XBWP1nrY7WElT0P_!!4611686018427383543-0-item_pic.jpg</x:v>
      </x:c>
      <x:c r="R7" s="77" t="str">
        <x:v>基础</x:v>
      </x:c>
    </x:row>
    <x:row r="8" ht="26" customHeight="1">
      <x:c r="A8" s="77" t="str">
        <x:v>薄款格纹衬衫</x:v>
      </x:c>
      <x:c r="B8" s="78" t="str">
        <x:v>上装</x:v>
      </x:c>
      <x:c r="C8" s="78" t="str">
        <x:v>衬衫</x:v>
      </x:c>
      <x:c r="D8" s="78" t="str">
        <x:v>灰绿格纹</x:v>
      </x:c>
      <x:c r="E8" s="78" t="str">
        <x:v>M/L/XL</x:v>
      </x:c>
      <x:c r="F8" s="79" t="n">
        <x:v>253</x:v>
      </x:c>
      <x:c r="G8" s="77" t="str">
        <x:v>棉混纺，落肩版型</x:v>
      </x:c>
      <x:c r="H8" s="77" t="str">
        <x:v>薄款格纹衬衫，棉混纺，落肩版型</x:v>
      </x:c>
      <x:c r="I8" s="78" t="str"/>
      <x:c r="J8" s="78" t="str">
        <x:v>演示商品（标题/价格/主图来自淘宝搜索页，颜色/尺码/面料为规范化补齐）</x:v>
      </x:c>
      <x:c r="K8" s="78" t="str">
        <x:v>SKU_918934379919.jpg</x:v>
      </x:c>
      <x:c r="L8" s="78" t="str">
        <x:v>衬衫/SKU_918934379919.jpg</x:v>
      </x:c>
      <x:c r="M8" s="91" t="n">
        <x:v>918934379919</x:v>
      </x:c>
      <x:c r="N8" s="77" t="str">
        <x:v>薄款格纹落肩袖衬衫男 韩国正品PARTI...</x:v>
      </x:c>
      <x:c r="O8" s="77" t="str">
        <x:v>https://item.taobao.com/item.htm?id=918934379919</x:v>
      </x:c>
      <x:c r="P8" s="77" t="str">
        <x:v>淘宝搜索页主图</x:v>
      </x:c>
      <x:c r="Q8" s="77" t="str">
        <x:v>http://img.alicdn.com/img/O1CN018F0T4G1sLYQkuoy4E_!!2706615750.jpg</x:v>
      </x:c>
      <x:c r="R8" s="77" t="str">
        <x:v>基础</x:v>
      </x:c>
    </x:row>
    <x:row r="9" ht="26" customHeight="1">
      <x:c r="A9" s="77" t="str">
        <x:v>商务翻领Polo衫</x:v>
      </x:c>
      <x:c r="B9" s="78" t="str">
        <x:v>上装</x:v>
      </x:c>
      <x:c r="C9" s="78" t="str">
        <x:v>衬衫</x:v>
      </x:c>
      <x:c r="D9" s="78" t="str">
        <x:v>藏青</x:v>
      </x:c>
      <x:c r="E9" s="78" t="str">
        <x:v>M/L/XL/2XL</x:v>
      </x:c>
      <x:c r="F9" s="79" t="n">
        <x:v>149</x:v>
      </x:c>
      <x:c r="G9" s="77" t="str">
        <x:v>珠地棉，修身版型</x:v>
      </x:c>
      <x:c r="H9" s="77" t="str">
        <x:v>商务翻领Polo衫，珠地棉，修身版型</x:v>
      </x:c>
      <x:c r="I9" s="78" t="str"/>
      <x:c r="J9" s="78" t="str">
        <x:v>演示商品（标题/价格/主图来自淘宝搜索页，颜色/尺码/面料为规范化补齐）</x:v>
      </x:c>
      <x:c r="K9" s="78" t="str">
        <x:v>SKU_940043169853.jpg</x:v>
      </x:c>
      <x:c r="L9" s="78" t="str">
        <x:v>衬衫/SKU_940043169853.jpg</x:v>
      </x:c>
      <x:c r="M9" s="91" t="n">
        <x:v>940043169853</x:v>
      </x:c>
      <x:c r="N9" s="77" t="str">
        <x:v>罗蒙夏季新款polo衫短袖男士高端商务休...</x:v>
      </x:c>
      <x:c r="O9" s="77" t="str">
        <x:v>https://item.taobao.com/item.htm?id=940043169853</x:v>
      </x:c>
      <x:c r="P9" s="77" t="str">
        <x:v>淘宝搜索页主图</x:v>
      </x:c>
      <x:c r="Q9" s="77" t="str">
        <x:v>https://img.alicdn.com/bao/uploaded/i3/2216383164978/O1CN01mdWi9W1mdygBQ5s12_!!2216383164978.jpg</x:v>
      </x:c>
      <x:c r="R9" s="77" t="str">
        <x:v>基础</x:v>
      </x:c>
    </x:row>
    <x:row r="10" ht="26" customHeight="1">
      <x:c r="A10" s="77" t="str">
        <x:v>拼色连帽开衫卫衣</x:v>
      </x:c>
      <x:c r="B10" s="78" t="str">
        <x:v>上装</x:v>
      </x:c>
      <x:c r="C10" s="78" t="str">
        <x:v>卫衣</x:v>
      </x:c>
      <x:c r="D10" s="78" t="str">
        <x:v>灰黑拼色</x:v>
      </x:c>
      <x:c r="E10" s="78" t="str">
        <x:v>M/L/XL</x:v>
      </x:c>
      <x:c r="F10" s="79" t="n">
        <x:v>108</x:v>
      </x:c>
      <x:c r="G10" s="77" t="str">
        <x:v>重磅毛圈，连帽宽松</x:v>
      </x:c>
      <x:c r="H10" s="77" t="str">
        <x:v>拼色连帽开衫卫衣，重磅毛圈，连帽宽松</x:v>
      </x:c>
      <x:c r="I10" s="78" t="str"/>
      <x:c r="J10" s="78" t="str">
        <x:v>演示商品（标题/价格/主图来自淘宝搜索页，颜色/尺码/面料为规范化补齐）</x:v>
      </x:c>
      <x:c r="K10" s="78" t="str">
        <x:v>SKU_970116687676.jpg</x:v>
      </x:c>
      <x:c r="L10" s="78" t="str">
        <x:v>卫衣/SKU_970116687676.jpg</x:v>
      </x:c>
      <x:c r="M10" s="91" t="n">
        <x:v>970116687676</x:v>
      </x:c>
      <x:c r="N10" s="77" t="str">
        <x:v>悟空有货潮牌美式重磅开衫连帽卫衣男女秋季...</x:v>
      </x:c>
      <x:c r="O10" s="77" t="str">
        <x:v>https://item.taobao.com/item.htm?id=970116687676</x:v>
      </x:c>
      <x:c r="P10" s="77" t="str">
        <x:v>淘宝搜索页主图</x:v>
      </x:c>
      <x:c r="Q10" s="77" t="str">
        <x:v>http://img.alicdn.com/img/i1/112044131/O1CN01aJmsk5XXmUF2vH2e_!!4611686018427381859-0-saturn_solar.jpg</x:v>
      </x:c>
      <x:c r="R10" s="77" t="str">
        <x:v>基础</x:v>
      </x:c>
    </x:row>
    <x:row r="11" ht="26" customHeight="1">
      <x:c r="A11" s="77" t="str">
        <x:v>灰色连帽拉链卫衣</x:v>
      </x:c>
      <x:c r="B11" s="78" t="str">
        <x:v>上装</x:v>
      </x:c>
      <x:c r="C11" s="78" t="str">
        <x:v>卫衣</x:v>
      </x:c>
      <x:c r="D11" s="78" t="str">
        <x:v>灰色</x:v>
      </x:c>
      <x:c r="E11" s="78" t="str">
        <x:v>M/L/XL/2XL</x:v>
      </x:c>
      <x:c r="F11" s="79" t="n">
        <x:v>189</x:v>
      </x:c>
      <x:c r="G11" s="77" t="str">
        <x:v>重磅棉，宽松版型</x:v>
      </x:c>
      <x:c r="H11" s="77" t="str">
        <x:v>灰色连帽拉链卫衣，重磅棉，宽松版型</x:v>
      </x:c>
      <x:c r="I11" s="78" t="str"/>
      <x:c r="J11" s="78" t="str">
        <x:v>演示商品（标题/价格/主图来自淘宝搜索页，颜色/尺码/面料为规范化补齐）</x:v>
      </x:c>
      <x:c r="K11" s="78" t="str">
        <x:v>SKU_959101558860.jpg</x:v>
      </x:c>
      <x:c r="L11" s="78" t="str">
        <x:v>卫衣/SKU_959101558860.jpg</x:v>
      </x:c>
      <x:c r="M11" s="91" t="n">
        <x:v>959101558860</x:v>
      </x:c>
      <x:c r="N11" s="77" t="str">
        <x:v>丛林老虎重磅连帽拉链开衫灰色卫衣男女潮牌...</x:v>
      </x:c>
      <x:c r="O11" s="77" t="str">
        <x:v>https://item.taobao.com/item.htm?id=959101558860</x:v>
      </x:c>
      <x:c r="P11" s="77" t="str">
        <x:v>淘宝搜索页主图</x:v>
      </x:c>
      <x:c r="Q11" s="77" t="str">
        <x:v>http://img.alicdn.com/img/O1CN01oV6TcD1aDA9nbG8Lr_!!157343295.jpg</x:v>
      </x:c>
      <x:c r="R11" s="77" t="str">
        <x:v>基础</x:v>
      </x:c>
    </x:row>
    <x:row r="12" ht="26" customHeight="1">
      <x:c r="A12" s="77" t="str">
        <x:v>立领华夫格卫衣</x:v>
      </x:c>
      <x:c r="B12" s="78" t="str">
        <x:v>上装</x:v>
      </x:c>
      <x:c r="C12" s="78" t="str">
        <x:v>卫衣</x:v>
      </x:c>
      <x:c r="D12" s="78" t="str">
        <x:v>青灰</x:v>
      </x:c>
      <x:c r="E12" s="78" t="str">
        <x:v>M/L/XL</x:v>
      </x:c>
      <x:c r="F12" s="79" t="n">
        <x:v>179</x:v>
      </x:c>
      <x:c r="G12" s="77" t="str">
        <x:v>华夫格针织，立领版型</x:v>
      </x:c>
      <x:c r="H12" s="77" t="str">
        <x:v>立领华夫格卫衣，华夫格针织，立领版型</x:v>
      </x:c>
      <x:c r="I12" s="78" t="str"/>
      <x:c r="J12" s="78" t="str">
        <x:v>演示商品（标题/价格/主图来自淘宝搜索页，颜色/尺码/面料为规范化补齐）</x:v>
      </x:c>
      <x:c r="K12" s="78" t="str">
        <x:v>SKU_980756926285.jpg</x:v>
      </x:c>
      <x:c r="L12" s="78" t="str">
        <x:v>卫衣/SKU_980756926285.jpg</x:v>
      </x:c>
      <x:c r="M12" s="91" t="n">
        <x:v>980756926285</x:v>
      </x:c>
      <x:c r="N12" s="77" t="str">
        <x:v>吕小虎ACTUP 秋季新款立领卫衣男款青...</x:v>
      </x:c>
      <x:c r="O12" s="77" t="str">
        <x:v>https://item.taobao.com/item.htm?id=980756926285</x:v>
      </x:c>
      <x:c r="P12" s="77" t="str">
        <x:v>淘宝搜索页主图</x:v>
      </x:c>
      <x:c r="Q12" s="77" t="str">
        <x:v>http://img.alicdn.com/img/O1CN01DK5jANQJLLE2vH2e_!!1129747141.jpg</x:v>
      </x:c>
      <x:c r="R12" s="77" t="str">
        <x:v>基础</x:v>
      </x:c>
    </x:row>
    <x:row r="13" ht="26" customHeight="1">
      <x:c r="A13" s="77" t="str">
        <x:v>复古麂皮立领夹克</x:v>
      </x:c>
      <x:c r="B13" s="78" t="str">
        <x:v>上装</x:v>
      </x:c>
      <x:c r="C13" s="78" t="str">
        <x:v>夹克</x:v>
      </x:c>
      <x:c r="D13" s="78" t="str">
        <x:v>棕色</x:v>
      </x:c>
      <x:c r="E13" s="78" t="str">
        <x:v>M/L/XL</x:v>
      </x:c>
      <x:c r="F13" s="79" t="n">
        <x:v>258</x:v>
      </x:c>
      <x:c r="G13" s="77" t="str">
        <x:v>麂皮质感，短款廓形</x:v>
      </x:c>
      <x:c r="H13" s="77" t="str">
        <x:v>复古麂皮立领夹克，麂皮质感，短款廓形</x:v>
      </x:c>
      <x:c r="I13" s="78" t="str"/>
      <x:c r="J13" s="78" t="str">
        <x:v>演示商品（标题/价格/主图来自淘宝搜索页，颜色/尺码/面料为规范化补齐）</x:v>
      </x:c>
      <x:c r="K13" s="78" t="str">
        <x:v>SKU_1016524133617.jpg</x:v>
      </x:c>
      <x:c r="L13" s="78" t="str">
        <x:v>夹克/SKU_1016524133617.jpg</x:v>
      </x:c>
      <x:c r="M13" s="91" t="n">
        <x:v>1016524133617</x:v>
      </x:c>
      <x:c r="N13" s="77" t="str">
        <x:v>有术美式潮牌复古立领麂皮夹克男2026秋...</x:v>
      </x:c>
      <x:c r="O13" s="77" t="str">
        <x:v>https://item.taobao.com/item.htm?id=1016524133617</x:v>
      </x:c>
      <x:c r="P13" s="77" t="str">
        <x:v>淘宝搜索页主图</x:v>
      </x:c>
      <x:c r="Q13" s="77" t="str">
        <x:v>http://img.alicdn.com/img/O1CN01kzcus51gnhRmOCvig_!!2217132414187.jpg</x:v>
      </x:c>
      <x:c r="R13" s="77" t="str">
        <x:v>基础</x:v>
      </x:c>
    </x:row>
    <x:row r="14" ht="26" customHeight="1">
      <x:c r="A14" s="77" t="str">
        <x:v>美式硬挺夹克</x:v>
      </x:c>
      <x:c r="B14" s="78" t="str">
        <x:v>上装</x:v>
      </x:c>
      <x:c r="C14" s="78" t="str">
        <x:v>夹克</x:v>
      </x:c>
      <x:c r="D14" s="78" t="str">
        <x:v>黑色</x:v>
      </x:c>
      <x:c r="E14" s="78" t="str">
        <x:v>M/L/XL</x:v>
      </x:c>
      <x:c r="F14" s="79" t="n">
        <x:v>279</x:v>
      </x:c>
      <x:c r="G14" s="77" t="str">
        <x:v>挺括梭织，宽松版型</x:v>
      </x:c>
      <x:c r="H14" s="77" t="str">
        <x:v>美式硬挺夹克，挺括梭织，宽松版型</x:v>
      </x:c>
      <x:c r="I14" s="78" t="str"/>
      <x:c r="J14" s="78" t="str">
        <x:v>演示商品（标题/价格/主图来自淘宝搜索页，颜色/尺码/面料为规范化补齐）</x:v>
      </x:c>
      <x:c r="K14" s="78" t="str">
        <x:v>SKU_968185415529.jpg</x:v>
      </x:c>
      <x:c r="L14" s="78" t="str">
        <x:v>夹克/SKU_968185415529.jpg</x:v>
      </x:c>
      <x:c r="M14" s="91" t="n">
        <x:v>968185415529</x:v>
      </x:c>
      <x:c r="N14" s="77" t="str">
        <x:v>CHOR秋冬季美式复古感硬挺夹克外套男生...</x:v>
      </x:c>
      <x:c r="O14" s="77" t="str">
        <x:v>https://item.taobao.com/item.htm?id=968185415529</x:v>
      </x:c>
      <x:c r="P14" s="77" t="str">
        <x:v>淘宝搜索页主图</x:v>
      </x:c>
      <x:c r="Q14" s="77" t="str">
        <x:v>http://img.alicdn.com/img/O1CN01RH5m7E1I9LjvpKSMp_!!2219180070850.jpg</x:v>
      </x:c>
      <x:c r="R14" s="77" t="str">
        <x:v>基础</x:v>
      </x:c>
    </x:row>
    <x:row r="15" ht="26" customHeight="1">
      <x:c r="A15" s="77" t="str">
        <x:v>满天星立领夹克</x:v>
      </x:c>
      <x:c r="B15" s="78" t="str">
        <x:v>上装</x:v>
      </x:c>
      <x:c r="C15" s="78" t="str">
        <x:v>夹克</x:v>
      </x:c>
      <x:c r="D15" s="78" t="str">
        <x:v>黑色</x:v>
      </x:c>
      <x:c r="E15" s="78" t="str">
        <x:v>M/L/XL</x:v>
      </x:c>
      <x:c r="F15" s="79" t="n">
        <x:v>199</x:v>
      </x:c>
      <x:c r="G15" s="77" t="str">
        <x:v>涤纶梭织，立领短款</x:v>
      </x:c>
      <x:c r="H15" s="77" t="str">
        <x:v>满天星立领夹克，涤纶梭织，立领短款</x:v>
      </x:c>
      <x:c r="I15" s="78" t="str"/>
      <x:c r="J15" s="78" t="str">
        <x:v>演示商品（标题/价格/主图来自淘宝搜索页，颜色/尺码/面料为规范化补齐）</x:v>
      </x:c>
      <x:c r="K15" s="78" t="str">
        <x:v>SKU_1010736020833.jpg</x:v>
      </x:c>
      <x:c r="L15" s="78" t="str">
        <x:v>夹克/SKU_1010736020833.jpg</x:v>
      </x:c>
      <x:c r="M15" s="91" t="n">
        <x:v>1010736020833</x:v>
      </x:c>
      <x:c r="N15" s="77" t="str">
        <x:v>lemanism美式潮流满天星立领夹克情...</x:v>
      </x:c>
      <x:c r="O15" s="77" t="str">
        <x:v>https://item.taobao.com/item.htm?id=1010736020833</x:v>
      </x:c>
      <x:c r="P15" s="77" t="str">
        <x:v>淘宝搜索页主图</x:v>
      </x:c>
      <x:c r="Q15" s="77" t="str">
        <x:v>https://img.alicdn.com/imgextra/i3/2218911982206/O1CN01AlKFC8KDgKF2vH2e_!!2218911982206-0-alimamacc.jpg</x:v>
      </x:c>
      <x:c r="R15" s="77" t="str">
        <x:v>基础</x:v>
      </x:c>
    </x:row>
    <x:row r="16" ht="26" customHeight="1">
      <x:c r="A16" s="77" t="str">
        <x:v>轻薄连帽羽绒服</x:v>
      </x:c>
      <x:c r="B16" s="78" t="str">
        <x:v>上装</x:v>
      </x:c>
      <x:c r="C16" s="78" t="str">
        <x:v>羽绒棉服</x:v>
      </x:c>
      <x:c r="D16" s="78" t="str">
        <x:v>黑色</x:v>
      </x:c>
      <x:c r="E16" s="78" t="str">
        <x:v>M/L/XL/2XL</x:v>
      </x:c>
      <x:c r="F16" s="79" t="n">
        <x:v>299</x:v>
      </x:c>
      <x:c r="G16" s="77" t="str">
        <x:v>鸭绒填充，轻薄连帽</x:v>
      </x:c>
      <x:c r="H16" s="77" t="str">
        <x:v>轻薄连帽羽绒服，鸭绒填充，轻薄连帽</x:v>
      </x:c>
      <x:c r="I16" s="78" t="str"/>
      <x:c r="J16" s="78" t="str">
        <x:v>演示商品（标题/价格/主图来自淘宝搜索页，颜色/尺码/面料为规范化补齐）</x:v>
      </x:c>
      <x:c r="K16" s="78" t="str">
        <x:v>SKU_983641125240.jpg</x:v>
      </x:c>
      <x:c r="L16" s="78" t="str">
        <x:v>羽绒棉服/SKU_983641125240.jpg</x:v>
      </x:c>
      <x:c r="M16" s="91" t="n">
        <x:v>983641125240</x:v>
      </x:c>
      <x:c r="N16" s="77" t="str">
        <x:v>鸭鸭排骨轻薄羽绒服男女款2026冬季连帽情侣外套男装休闲保暖衣服</x:v>
      </x:c>
      <x:c r="O16" s="77" t="str">
        <x:v>https://item.taobao.com/item.htm?id=983641125240</x:v>
      </x:c>
      <x:c r="P16" s="77" t="str">
        <x:v>淘宝搜索页主图</x:v>
      </x:c>
      <x:c r="Q16" s="77" t="str">
        <x:v>https://img.alicdn.com/imgextra/i2/2219931215439/O1CN01CQp1JYaKsEK2vH2e_!!2219931215439-0-alimamacc.jpg</x:v>
      </x:c>
      <x:c r="R16" s="77" t="str">
        <x:v>基础</x:v>
      </x:c>
    </x:row>
    <x:row r="17" ht="26" customHeight="1">
      <x:c r="A17" s="77" t="str">
        <x:v>立领短款羽绒服</x:v>
      </x:c>
      <x:c r="B17" s="78" t="str">
        <x:v>上装</x:v>
      </x:c>
      <x:c r="C17" s="78" t="str">
        <x:v>羽绒棉服</x:v>
      </x:c>
      <x:c r="D17" s="78" t="str">
        <x:v>深蓝</x:v>
      </x:c>
      <x:c r="E17" s="78" t="str">
        <x:v>M/L/XL</x:v>
      </x:c>
      <x:c r="F17" s="79" t="n">
        <x:v>429</x:v>
      </x:c>
      <x:c r="G17" s="77" t="str">
        <x:v>轻薄鸭绒，防风立领</x:v>
      </x:c>
      <x:c r="H17" s="77" t="str">
        <x:v>立领短款羽绒服，轻薄鸭绒，防风立领</x:v>
      </x:c>
      <x:c r="I17" s="78" t="str"/>
      <x:c r="J17" s="78" t="str">
        <x:v>演示商品（标题/价格/主图来自淘宝搜索页，颜色/尺码/面料为规范化补齐）</x:v>
      </x:c>
      <x:c r="K17" s="78" t="str">
        <x:v>SKU_931263887745.jpg</x:v>
      </x:c>
      <x:c r="L17" s="78" t="str">
        <x:v>羽绒棉服/SKU_931263887745.jpg</x:v>
      </x:c>
      <x:c r="M17" s="91" t="n">
        <x:v>931263887745</x:v>
      </x:c>
      <x:c r="N17" s="77" t="str">
        <x:v>坦博尔秋冬季轻薄短款羽绒服男士防风立领百搭保暖便携高品质外套</x:v>
      </x:c>
      <x:c r="O17" s="77" t="str">
        <x:v>https://item.taobao.com/item.htm?id=931263887745</x:v>
      </x:c>
      <x:c r="P17" s="77" t="str">
        <x:v>淘宝搜索页主图</x:v>
      </x:c>
      <x:c r="Q17" s="77" t="str">
        <x:v>http://img.alicdn.com/img/O1CN01YOgfVoQTx3G2vH2e_!!349907764.jpg</x:v>
      </x:c>
      <x:c r="R17" s="77" t="str">
        <x:v>基础</x:v>
      </x:c>
    </x:row>
    <x:row r="18" ht="26" customHeight="1">
      <x:c r="A18" s="77" t="str">
        <x:v>长款加厚羽绒服</x:v>
      </x:c>
      <x:c r="B18" s="78" t="str">
        <x:v>上装</x:v>
      </x:c>
      <x:c r="C18" s="78" t="str">
        <x:v>羽绒棉服</x:v>
      </x:c>
      <x:c r="D18" s="78" t="str">
        <x:v>黑色</x:v>
      </x:c>
      <x:c r="E18" s="78" t="str">
        <x:v>L/XL/2XL</x:v>
      </x:c>
      <x:c r="F18" s="79" t="n">
        <x:v>669</x:v>
      </x:c>
      <x:c r="G18" s="77" t="str">
        <x:v>鸭绒填充，中长款</x:v>
      </x:c>
      <x:c r="H18" s="77" t="str">
        <x:v>长款加厚羽绒服，鸭绒填充，中长款</x:v>
      </x:c>
      <x:c r="I18" s="78" t="str"/>
      <x:c r="J18" s="78" t="str">
        <x:v>演示商品（标题/价格/主图来自淘宝搜索页，颜色/尺码/面料为规范化补齐）</x:v>
      </x:c>
      <x:c r="K18" s="78" t="str">
        <x:v>SKU_1071468628554.jpg</x:v>
      </x:c>
      <x:c r="L18" s="78" t="str">
        <x:v>羽绒棉服/SKU_1071468628554.jpg</x:v>
      </x:c>
      <x:c r="M18" s="91" t="n">
        <x:v>1071468628554</x:v>
      </x:c>
      <x:c r="N18" s="77" t="str">
        <x:v>【冰壳3.0】王一博明星同款鸭鸭长款羽绒服冬季新款加厚男女同款</x:v>
      </x:c>
      <x:c r="O18" s="77" t="str">
        <x:v>https://item.taobao.com/item.htm?id=1071468628554</x:v>
      </x:c>
      <x:c r="P18" s="77" t="str">
        <x:v>淘宝搜索页主图</x:v>
      </x:c>
      <x:c r="Q18" s="77" t="str">
        <x:v>http://img.alicdn.com/img/O1CN01gEnHM6tnioJ1chua_!!4611686018427382586-0-item_pic.jpg</x:v>
      </x:c>
      <x:c r="R18" s="77" t="str">
        <x:v>基础</x:v>
      </x:c>
    </x:row>
    <x:row r="19" ht="26" customHeight="1">
      <x:c r="A19" s="77" t="str">
        <x:v>冰蓝水洗直筒牛仔裤</x:v>
      </x:c>
      <x:c r="B19" s="78" t="str">
        <x:v>下装</x:v>
      </x:c>
      <x:c r="C19" s="78" t="str">
        <x:v>牛仔裤</x:v>
      </x:c>
      <x:c r="D19" s="78" t="str">
        <x:v>浅蓝</x:v>
      </x:c>
      <x:c r="E19" s="78" t="str">
        <x:v>29/30/31/32</x:v>
      </x:c>
      <x:c r="F19" s="79" t="n">
        <x:v>135</x:v>
      </x:c>
      <x:c r="G19" s="77" t="str">
        <x:v>丹宁水洗，直筒版型</x:v>
      </x:c>
      <x:c r="H19" s="77" t="str">
        <x:v>冰蓝水洗直筒牛仔裤，丹宁水洗，直筒版型</x:v>
      </x:c>
      <x:c r="I19" s="78" t="str">
        <x:v>长裤</x:v>
      </x:c>
      <x:c r="J19" s="78" t="str">
        <x:v>演示商品（标题/价格/主图来自淘宝搜索页，颜色/尺码/面料为规范化补齐）</x:v>
      </x:c>
      <x:c r="K19" s="78" t="str">
        <x:v>SKU_930228879618.png</x:v>
      </x:c>
      <x:c r="L19" s="78" t="str">
        <x:v>牛仔裤/SKU_930228879618.png</x:v>
      </x:c>
      <x:c r="M19" s="91" t="n">
        <x:v>930228879618</x:v>
      </x:c>
      <x:c r="N19" s="77" t="str">
        <x:v>Sellscream美式冰蓝高街clea...</x:v>
      </x:c>
      <x:c r="O19" s="77" t="str">
        <x:v>https://item.taobao.com/item.htm?id=930228879618</x:v>
      </x:c>
      <x:c r="P19" s="77" t="str">
        <x:v>淘宝搜索页主图</x:v>
      </x:c>
      <x:c r="Q19" s="77" t="str">
        <x:v>http://img.alicdn.com/img/i1/1974550165/O1CN01Xo7d471D5cPaAcUJN_!!4611686018427387541-2-saturn_solar.png</x:v>
      </x:c>
      <x:c r="R19" s="77" t="str">
        <x:v>混淆对1：牛仔裤 vs 休闲长裤</x:v>
      </x:c>
    </x:row>
    <x:row r="20" ht="26" customHeight="1">
      <x:c r="A20" s="77" t="str">
        <x:v>做旧牛仔七分裤</x:v>
      </x:c>
      <x:c r="B20" s="78" t="str">
        <x:v>下装</x:v>
      </x:c>
      <x:c r="C20" s="78" t="str">
        <x:v>牛仔裤</x:v>
      </x:c>
      <x:c r="D20" s="78" t="str">
        <x:v>浅蓝</x:v>
      </x:c>
      <x:c r="E20" s="78" t="str">
        <x:v>29/30/31/32</x:v>
      </x:c>
      <x:c r="F20" s="79" t="n">
        <x:v>98</x:v>
      </x:c>
      <x:c r="G20" s="77" t="str">
        <x:v>丹宁做旧，宽松阔腿</x:v>
      </x:c>
      <x:c r="H20" s="77" t="str">
        <x:v>做旧牛仔七分裤，丹宁做旧，宽松阔腿</x:v>
      </x:c>
      <x:c r="I20" s="78" t="str">
        <x:v>七分</x:v>
      </x:c>
      <x:c r="J20" s="78" t="str">
        <x:v>演示商品（标题/价格/主图来自淘宝搜索页，颜色/尺码/面料为规范化补齐）</x:v>
      </x:c>
      <x:c r="K20" s="78" t="str">
        <x:v>SKU_913812659151.jpg</x:v>
      </x:c>
      <x:c r="L20" s="78" t="str">
        <x:v>牛仔裤/SKU_913812659151.jpg</x:v>
      </x:c>
      <x:c r="M20" s="91" t="n">
        <x:v>913812659151</x:v>
      </x:c>
      <x:c r="N20" s="77" t="str">
        <x:v>美式做旧解构牛仔七分裤男夏季新款宽松阔腿休闲短裤男生八分裤子</x:v>
      </x:c>
      <x:c r="O20" s="77" t="str">
        <x:v>https://item.taobao.com/item.htm?id=913812659151</x:v>
      </x:c>
      <x:c r="P20" s="77" t="str">
        <x:v>淘宝搜索页主图</x:v>
      </x:c>
      <x:c r="Q20" s="77" t="str">
        <x:v>http://img.alicdn.com/img/O1CN010bFuwh23cSpCKRSGg_!!4611686018427386012-0-item_pic.jpg</x:v>
      </x:c>
      <x:c r="R20" s="77" t="str">
        <x:v>混淆对1：牛仔裤 vs 休闲长裤；混淆对3：短裤 vs 七分裤</x:v>
      </x:c>
    </x:row>
    <x:row r="21" ht="26" customHeight="1">
      <x:c r="A21" s="77" t="str">
        <x:v>闪电纹牛仔七分裤</x:v>
      </x:c>
      <x:c r="B21" s="78" t="str">
        <x:v>下装</x:v>
      </x:c>
      <x:c r="C21" s="78" t="str">
        <x:v>牛仔裤</x:v>
      </x:c>
      <x:c r="D21" s="78" t="str">
        <x:v>深蓝</x:v>
      </x:c>
      <x:c r="E21" s="78" t="str">
        <x:v>30/32/34</x:v>
      </x:c>
      <x:c r="F21" s="79" t="n">
        <x:v>108</x:v>
      </x:c>
      <x:c r="G21" s="77" t="str">
        <x:v>丹宁水洗，宽松阔腿</x:v>
      </x:c>
      <x:c r="H21" s="77" t="str">
        <x:v>闪电纹牛仔七分裤，丹宁水洗，宽松阔腿</x:v>
      </x:c>
      <x:c r="I21" s="78" t="str">
        <x:v>七分</x:v>
      </x:c>
      <x:c r="J21" s="78" t="str">
        <x:v>演示商品（标题/价格/主图来自淘宝搜索页，颜色/尺码/面料为规范化补齐）</x:v>
      </x:c>
      <x:c r="K21" s="78" t="str">
        <x:v>SKU_907597464657.jpg</x:v>
      </x:c>
      <x:c r="L21" s="78" t="str">
        <x:v>牛仔裤/SKU_907597464657.jpg</x:v>
      </x:c>
      <x:c r="M21" s="91" t="n">
        <x:v>907597464657</x:v>
      </x:c>
      <x:c r="N21" s="77" t="str">
        <x:v>DAL 美式复古弯刀牛仔短裤男2026年夏季闪电纹做旧宽松阔腿七分裤</x:v>
      </x:c>
      <x:c r="O21" s="77" t="str">
        <x:v>https://item.taobao.com/item.htm?id=907597464657</x:v>
      </x:c>
      <x:c r="P21" s="77" t="str">
        <x:v>淘宝搜索页主图</x:v>
      </x:c>
      <x:c r="Q21" s="77" t="str">
        <x:v>http://img.alicdn.com/img/O1CN01TGmHaT2Fnhvwr6Rhc_!!2214628418925.jpg</x:v>
      </x:c>
      <x:c r="R21" s="77" t="str">
        <x:v>混淆对1：牛仔裤 vs 休闲长裤；混淆对3：短裤 vs 七分裤</x:v>
      </x:c>
    </x:row>
    <x:row r="22" ht="26" customHeight="1">
      <x:c r="A22" s="77" t="str">
        <x:v>弯刀阔腿休闲长裤</x:v>
      </x:c>
      <x:c r="B22" s="78" t="str">
        <x:v>下装</x:v>
      </x:c>
      <x:c r="C22" s="78" t="str">
        <x:v>休闲长裤</x:v>
      </x:c>
      <x:c r="D22" s="78" t="str">
        <x:v>卡其</x:v>
      </x:c>
      <x:c r="E22" s="78" t="str">
        <x:v>29/30/31/32</x:v>
      </x:c>
      <x:c r="F22" s="79" t="n">
        <x:v>176</x:v>
      </x:c>
      <x:c r="G22" s="77" t="str">
        <x:v>棉混纺，阔腿版型</x:v>
      </x:c>
      <x:c r="H22" s="77" t="str">
        <x:v>弯刀阔腿休闲长裤，棉混纺，阔腿版型</x:v>
      </x:c>
      <x:c r="I22" s="78" t="str">
        <x:v>长裤</x:v>
      </x:c>
      <x:c r="J22" s="78" t="str">
        <x:v>演示商品（标题/价格/主图来自淘宝搜索页，颜色/尺码/面料为规范化补齐）</x:v>
      </x:c>
      <x:c r="K22" s="78" t="str">
        <x:v>SKU_1039481943532.jpg</x:v>
      </x:c>
      <x:c r="L22" s="78" t="str">
        <x:v>休闲长裤/SKU_1039481943532.jpg</x:v>
      </x:c>
      <x:c r="M22" s="91" t="n">
        <x:v>1039481943532</x:v>
      </x:c>
      <x:c r="N22" s="77" t="str">
        <x:v>猫人美式弯刀阔腿裤子男款秋春2026新款...</x:v>
      </x:c>
      <x:c r="O22" s="77" t="str">
        <x:v>https://item.taobao.com/item.htm?id=1039481943532</x:v>
      </x:c>
      <x:c r="P22" s="77" t="str">
        <x:v>淘宝搜索页主图</x:v>
      </x:c>
      <x:c r="Q22" s="77" t="str">
        <x:v>http://img.alicdn.com/img/O1CN01UMWzObWhxfK2vH2e_!!1018032328.jpg</x:v>
      </x:c>
      <x:c r="R22" s="77" t="str">
        <x:v>混淆对1：牛仔裤 vs 休闲长裤</x:v>
      </x:c>
    </x:row>
    <x:row r="23" ht="26" customHeight="1">
      <x:c r="A23" s="77" t="str">
        <x:v>户外黑色休闲裤</x:v>
      </x:c>
      <x:c r="B23" s="78" t="str">
        <x:v>下装</x:v>
      </x:c>
      <x:c r="C23" s="78" t="str">
        <x:v>休闲长裤</x:v>
      </x:c>
      <x:c r="D23" s="78" t="str">
        <x:v>黑色</x:v>
      </x:c>
      <x:c r="E23" s="78" t="str">
        <x:v>30/32/34</x:v>
      </x:c>
      <x:c r="F23" s="79" t="n">
        <x:v>149</x:v>
      </x:c>
      <x:c r="G23" s="77" t="str">
        <x:v>弹力梭织，直筒版型</x:v>
      </x:c>
      <x:c r="H23" s="77" t="str">
        <x:v>户外黑色休闲裤，弹力梭织，直筒版型</x:v>
      </x:c>
      <x:c r="I23" s="78" t="str">
        <x:v>长裤</x:v>
      </x:c>
      <x:c r="J23" s="78" t="str">
        <x:v>演示商品（标题/价格/主图来自淘宝搜索页，颜色/尺码/面料为规范化补齐）</x:v>
      </x:c>
      <x:c r="K23" s="78" t="str">
        <x:v>SKU_886272978479.jpg</x:v>
      </x:c>
      <x:c r="L23" s="78" t="str">
        <x:v>休闲长裤/SKU_886272978479.jpg</x:v>
      </x:c>
      <x:c r="M23" s="91" t="n">
        <x:v>886272978479</x:v>
      </x:c>
      <x:c r="N23" s="77" t="str">
        <x:v>猫人休闲裤男士秋春款2026新款户外黑色...</x:v>
      </x:c>
      <x:c r="O23" s="77" t="str">
        <x:v>https://item.taobao.com/item.htm?id=886272978479</x:v>
      </x:c>
      <x:c r="P23" s="77" t="str">
        <x:v>淘宝搜索页主图</x:v>
      </x:c>
      <x:c r="Q23" s="77" t="str">
        <x:v>http://img.alicdn.com/img/O1CN01v0M89o2KrtjFACzqF_!!4611686018427386875-0-item_pic.jpg</x:v>
      </x:c>
      <x:c r="R23" s="77" t="str">
        <x:v>混淆对1：牛仔裤 vs 休闲长裤</x:v>
      </x:c>
    </x:row>
    <x:row r="24" ht="26" customHeight="1">
      <x:c r="A24" s="77" t="str">
        <x:v>Cleanfit垂感休闲长裤</x:v>
      </x:c>
      <x:c r="B24" s="78" t="str">
        <x:v>下装</x:v>
      </x:c>
      <x:c r="C24" s="78" t="str">
        <x:v>休闲长裤</x:v>
      </x:c>
      <x:c r="D24" s="78" t="str">
        <x:v>深灰</x:v>
      </x:c>
      <x:c r="E24" s="78" t="str">
        <x:v>29/30/31/32</x:v>
      </x:c>
      <x:c r="F24" s="79" t="n">
        <x:v>149</x:v>
      </x:c>
      <x:c r="G24" s="77" t="str">
        <x:v>垂感面料，直筒版型</x:v>
      </x:c>
      <x:c r="H24" s="77" t="str">
        <x:v>Cleanfit垂感休闲长裤，垂感面料，直筒版型</x:v>
      </x:c>
      <x:c r="I24" s="78" t="str">
        <x:v>长裤</x:v>
      </x:c>
      <x:c r="J24" s="78" t="str">
        <x:v>演示商品（标题/价格/主图来自淘宝搜索页，颜色/尺码/面料为规范化补齐）</x:v>
      </x:c>
      <x:c r="K24" s="78" t="str">
        <x:v>SKU_970014816814.jpg</x:v>
      </x:c>
      <x:c r="L24" s="78" t="str">
        <x:v>休闲长裤/SKU_970014816814.jpg</x:v>
      </x:c>
      <x:c r="M24" s="91" t="n">
        <x:v>970014816814</x:v>
      </x:c>
      <x:c r="N24" s="77" t="str">
        <x:v>CHOR秋冬季cleanfit高级感休闲...</x:v>
      </x:c>
      <x:c r="O24" s="77" t="str">
        <x:v>https://item.taobao.com/item.htm?id=970014816814</x:v>
      </x:c>
      <x:c r="P24" s="77" t="str">
        <x:v>淘宝搜索页主图</x:v>
      </x:c>
      <x:c r="Q24" s="77" t="str">
        <x:v>http://img.alicdn.com/img/O1CN017zfcmB1I9Lk2M1Cs3_!!2219180070850.jpg</x:v>
      </x:c>
      <x:c r="R24" s="77" t="str">
        <x:v>混淆对1：牛仔裤 vs 休闲长裤</x:v>
      </x:c>
    </x:row>
    <x:row r="25" ht="26" customHeight="1">
      <x:c r="A25" s="77" t="str">
        <x:v>轻商务直筒西裤</x:v>
      </x:c>
      <x:c r="B25" s="78" t="str">
        <x:v>下装</x:v>
      </x:c>
      <x:c r="C25" s="78" t="str">
        <x:v>西裤</x:v>
      </x:c>
      <x:c r="D25" s="78" t="str">
        <x:v>深灰</x:v>
      </x:c>
      <x:c r="E25" s="78" t="str">
        <x:v>29/30/31/32</x:v>
      </x:c>
      <x:c r="F25" s="79" t="n">
        <x:v>249</x:v>
      </x:c>
      <x:c r="G25" s="77" t="str">
        <x:v>垂感西装料，直筒版型</x:v>
      </x:c>
      <x:c r="H25" s="77" t="str">
        <x:v>轻商务直筒西裤，垂感西装料，直筒版型</x:v>
      </x:c>
      <x:c r="I25" s="78" t="str">
        <x:v>长裤</x:v>
      </x:c>
      <x:c r="J25" s="78" t="str">
        <x:v>演示商品（标题/价格/主图来自淘宝搜索页，颜色/尺码/面料为规范化补齐）</x:v>
      </x:c>
      <x:c r="K25" s="78" t="str">
        <x:v>SKU_1071378830352.jpg</x:v>
      </x:c>
      <x:c r="L25" s="78" t="str">
        <x:v>西裤/SKU_1071378830352.jpg</x:v>
      </x:c>
      <x:c r="M25" s="91" t="n">
        <x:v>1071378830352</x:v>
      </x:c>
      <x:c r="N25" s="77" t="str">
        <x:v>【雾感织质】裤线定型工艺｜男士轻商务老钱风阔腿休闲直筒西裤秋</x:v>
      </x:c>
      <x:c r="O25" s="77" t="str">
        <x:v>https://item.taobao.com/item.htm?id=1071378830352</x:v>
      </x:c>
      <x:c r="P25" s="77" t="str">
        <x:v>淘宝搜索页主图</x:v>
      </x:c>
      <x:c r="Q25" s="77" t="str">
        <x:v>http://img.alicdn.com/img/O1CN01mYGmjM1xdwVzBTWmH_!!1617356467.jpg</x:v>
      </x:c>
      <x:c r="R25" s="77" t="str">
        <x:v>基础</x:v>
      </x:c>
    </x:row>
    <x:row r="26" ht="26" customHeight="1">
      <x:c r="A26" s="77" t="str">
        <x:v>黑色弯刀阔腿西裤</x:v>
      </x:c>
      <x:c r="B26" s="78" t="str">
        <x:v>下装</x:v>
      </x:c>
      <x:c r="C26" s="78" t="str">
        <x:v>西裤</x:v>
      </x:c>
      <x:c r="D26" s="78" t="str">
        <x:v>黑色</x:v>
      </x:c>
      <x:c r="E26" s="78" t="str">
        <x:v>29/30/31/32</x:v>
      </x:c>
      <x:c r="F26" s="79" t="n">
        <x:v>158</x:v>
      </x:c>
      <x:c r="G26" s="77" t="str">
        <x:v>垂感西装料，阔腿版型</x:v>
      </x:c>
      <x:c r="H26" s="77" t="str">
        <x:v>黑色弯刀阔腿西裤，垂感西装料，阔腿版型</x:v>
      </x:c>
      <x:c r="I26" s="78" t="str">
        <x:v>长裤</x:v>
      </x:c>
      <x:c r="J26" s="78" t="str">
        <x:v>演示商品（标题/价格/主图来自淘宝搜索页，颜色/尺码/面料为规范化补齐）</x:v>
      </x:c>
      <x:c r="K26" s="78" t="str">
        <x:v>SKU_1066501207269.jpg</x:v>
      </x:c>
      <x:c r="L26" s="78" t="str">
        <x:v>西裤/SKU_1066501207269.jpg</x:v>
      </x:c>
      <x:c r="M26" s="91" t="n">
        <x:v>1066501207269</x:v>
      </x:c>
      <x:c r="N26" s="77" t="str">
        <x:v>THREENINE高级感黑色弯刀阔腿西裤男小众解构垂感廓形拖地长裤潮</x:v>
      </x:c>
      <x:c r="O26" s="77" t="str">
        <x:v>https://item.taobao.com/item.htm?id=1066501207269</x:v>
      </x:c>
      <x:c r="P26" s="77" t="str">
        <x:v>淘宝搜索页主图</x:v>
      </x:c>
      <x:c r="Q26" s="77" t="str">
        <x:v>http://img.alicdn.com/img/O1CN01IcNDIB1y2wI2R3rs_!!3041741721.png</x:v>
      </x:c>
      <x:c r="R26" s="77" t="str">
        <x:v>基础</x:v>
      </x:c>
    </x:row>
    <x:row r="27" ht="26" customHeight="1">
      <x:c r="A27" s="77" t="str">
        <x:v>多口袋工装七分裤</x:v>
      </x:c>
      <x:c r="B27" s="78" t="str">
        <x:v>下装</x:v>
      </x:c>
      <x:c r="C27" s="78" t="str">
        <x:v>工装裤</x:v>
      </x:c>
      <x:c r="D27" s="78" t="str">
        <x:v>军绿</x:v>
      </x:c>
      <x:c r="E27" s="78" t="str">
        <x:v>30/32/34</x:v>
      </x:c>
      <x:c r="F27" s="79" t="n">
        <x:v>79</x:v>
      </x:c>
      <x:c r="G27" s="77" t="str">
        <x:v>薄款棉布，多口袋版型</x:v>
      </x:c>
      <x:c r="H27" s="77" t="str">
        <x:v>多口袋工装七分裤，薄款棉布，多口袋版型</x:v>
      </x:c>
      <x:c r="I27" s="78" t="str">
        <x:v>七分</x:v>
      </x:c>
      <x:c r="J27" s="78" t="str">
        <x:v>演示商品（标题/价格/主图来自淘宝搜索页，颜色/尺码/面料为规范化补齐）</x:v>
      </x:c>
      <x:c r="K27" s="78" t="str">
        <x:v>SKU_910351452919.jpg</x:v>
      </x:c>
      <x:c r="L27" s="78" t="str">
        <x:v>工装裤/SKU_910351452919.jpg</x:v>
      </x:c>
      <x:c r="M27" s="91" t="n">
        <x:v>910351452919</x:v>
      </x:c>
      <x:c r="N27" s="77" t="str">
        <x:v>纯棉工装裤男款夏季薄款美式潮流多口袋七分裤男士外穿休闲短裤男</x:v>
      </x:c>
      <x:c r="O27" s="77" t="str">
        <x:v>https://item.taobao.com/item.htm?id=910351452919</x:v>
      </x:c>
      <x:c r="P27" s="77" t="str">
        <x:v>淘宝搜索页主图</x:v>
      </x:c>
      <x:c r="Q27" s="77" t="str">
        <x:v>http://img.alicdn.com/img/i3/31486981/O1CN01sqRm0Y21RM4VnHgeB_!!4611686018427384837-0-saturn_solar.jpg</x:v>
      </x:c>
      <x:c r="R27" s="77" t="str">
        <x:v>混淆对2：运动裤 vs 工装裤；混淆对3：短裤 vs 七分裤</x:v>
      </x:c>
    </x:row>
    <x:row r="28" ht="26" customHeight="1">
      <x:c r="A28" s="77" t="str">
        <x:v>迷彩微喇工装裤</x:v>
      </x:c>
      <x:c r="B28" s="78" t="str">
        <x:v>下装</x:v>
      </x:c>
      <x:c r="C28" s="78" t="str">
        <x:v>工装裤</x:v>
      </x:c>
      <x:c r="D28" s="78" t="str">
        <x:v>迷彩</x:v>
      </x:c>
      <x:c r="E28" s="78" t="str">
        <x:v>30/32/34</x:v>
      </x:c>
      <x:c r="F28" s="79" t="n">
        <x:v>58</x:v>
      </x:c>
      <x:c r="G28" s="77" t="str">
        <x:v>厚实棉布，微喇版型</x:v>
      </x:c>
      <x:c r="H28" s="77" t="str">
        <x:v>迷彩微喇工装裤，厚实棉布，微喇版型</x:v>
      </x:c>
      <x:c r="I28" s="78" t="str">
        <x:v>长裤</x:v>
      </x:c>
      <x:c r="J28" s="78" t="str">
        <x:v>演示商品（标题/价格/主图来自淘宝搜索页，颜色/尺码/面料为规范化补齐）</x:v>
      </x:c>
      <x:c r="K28" s="78" t="str">
        <x:v>SKU_887705390530.jpg</x:v>
      </x:c>
      <x:c r="L28" s="78" t="str">
        <x:v>工装裤/SKU_887705390530.jpg</x:v>
      </x:c>
      <x:c r="M28" s="91" t="n">
        <x:v>887705390530</x:v>
      </x:c>
      <x:c r="N28" s="77" t="str">
        <x:v>美式复古迷彩微喇工装裤男款秋季vibe高...</x:v>
      </x:c>
      <x:c r="O28" s="77" t="str">
        <x:v>https://item.taobao.com/item.htm?id=887705390530</x:v>
      </x:c>
      <x:c r="P28" s="77" t="str">
        <x:v>淘宝搜索页主图</x:v>
      </x:c>
      <x:c r="Q28" s="77" t="str">
        <x:v>https://img.alicdn.com/tfscom/O1CN013Qz3tw1ONReVpyNcu_!!6000000001693-2-scs.png</x:v>
      </x:c>
      <x:c r="R28" s="77" t="str">
        <x:v>混淆对2：运动裤 vs 工装裤</x:v>
      </x:c>
    </x:row>
    <x:row r="29" ht="26" customHeight="1">
      <x:c r="A29" s="77" t="str">
        <x:v>纯棉直筒工装裤</x:v>
      </x:c>
      <x:c r="B29" s="78" t="str">
        <x:v>下装</x:v>
      </x:c>
      <x:c r="C29" s="78" t="str">
        <x:v>工装裤</x:v>
      </x:c>
      <x:c r="D29" s="78" t="str">
        <x:v>卡其</x:v>
      </x:c>
      <x:c r="E29" s="78" t="str">
        <x:v>30/32/34</x:v>
      </x:c>
      <x:c r="F29" s="79" t="n">
        <x:v>198</x:v>
      </x:c>
      <x:c r="G29" s="77" t="str">
        <x:v>重磅纯棉，直筒版型</x:v>
      </x:c>
      <x:c r="H29" s="77" t="str">
        <x:v>纯棉直筒工装裤，重磅纯棉，直筒版型</x:v>
      </x:c>
      <x:c r="I29" s="78" t="str">
        <x:v>长裤</x:v>
      </x:c>
      <x:c r="J29" s="78" t="str">
        <x:v>演示商品（标题/价格/主图来自淘宝搜索页，颜色/尺码/面料为规范化补齐）</x:v>
      </x:c>
      <x:c r="K29" s="78" t="str">
        <x:v>SKU_1010384888451.jpg</x:v>
      </x:c>
      <x:c r="L29" s="78" t="str">
        <x:v>工装裤/SKU_1010384888451.jpg</x:v>
      </x:c>
      <x:c r="M29" s="91" t="n">
        <x:v>1010384888451</x:v>
      </x:c>
      <x:c r="N29" s="77" t="str">
        <x:v>毛里叔叔2026秋冬新款重磅纯棉直筒工装...</x:v>
      </x:c>
      <x:c r="O29" s="77" t="str">
        <x:v>https://item.taobao.com/item.htm?id=1010384888451</x:v>
      </x:c>
      <x:c r="P29" s="77" t="str">
        <x:v>淘宝搜索页主图</x:v>
      </x:c>
      <x:c r="Q29" s="77" t="str">
        <x:v>http://img.alicdn.com/img/O1CN01POouD71msdP5ljfob_!!321235010.jpg</x:v>
      </x:c>
      <x:c r="R29" s="77" t="str">
        <x:v>混淆对2：运动裤 vs 工装裤</x:v>
      </x:c>
    </x:row>
    <x:row r="30" ht="26" customHeight="1">
      <x:c r="A30" s="77" t="str">
        <x:v>宝蓝色针织运动裤</x:v>
      </x:c>
      <x:c r="B30" s="78" t="str">
        <x:v>下装</x:v>
      </x:c>
      <x:c r="C30" s="78" t="str">
        <x:v>运动裤</x:v>
      </x:c>
      <x:c r="D30" s="78" t="str">
        <x:v>宝蓝</x:v>
      </x:c>
      <x:c r="E30" s="78" t="str">
        <x:v>M/L/XL</x:v>
      </x:c>
      <x:c r="F30" s="79" t="n">
        <x:v>99</x:v>
      </x:c>
      <x:c r="G30" s="77" t="str">
        <x:v>针织面料，束脚抽绳</x:v>
      </x:c>
      <x:c r="H30" s="77" t="str">
        <x:v>宝蓝色针织运动裤，针织面料，束脚抽绳</x:v>
      </x:c>
      <x:c r="I30" s="78" t="str">
        <x:v>长裤</x:v>
      </x:c>
      <x:c r="J30" s="78" t="str">
        <x:v>演示商品（标题/价格/主图来自淘宝搜索页，颜色/尺码/面料为规范化补齐）</x:v>
      </x:c>
      <x:c r="K30" s="78" t="str">
        <x:v>SKU_1024630924800.png</x:v>
      </x:c>
      <x:c r="L30" s="78" t="str">
        <x:v>运动裤/SKU_1024630924800.png</x:v>
      </x:c>
      <x:c r="M30" s="91" t="n">
        <x:v>1024630924800</x:v>
      </x:c>
      <x:c r="N30" s="77" t="str">
        <x:v>2026夏秋新款宝蓝色针织运动裤男生裤子...</x:v>
      </x:c>
      <x:c r="O30" s="77" t="str">
        <x:v>https://item.taobao.com/item.htm?id=1024630924800</x:v>
      </x:c>
      <x:c r="P30" s="77" t="str">
        <x:v>淘宝搜索页主图</x:v>
      </x:c>
      <x:c r="Q30" s="77" t="str">
        <x:v>http://img.alicdn.com/img/O1CN01PideyC1M0svFyZsym_!!4611686018427387245-2-item_pic.png</x:v>
      </x:c>
      <x:c r="R30" s="77" t="str">
        <x:v>混淆对2：运动裤 vs 工装裤</x:v>
      </x:c>
    </x:row>
    <x:row r="31" ht="26" customHeight="1">
      <x:c r="A31" s="77" t="str">
        <x:v>束脚卫裤运动长裤</x:v>
      </x:c>
      <x:c r="B31" s="78" t="str">
        <x:v>下装</x:v>
      </x:c>
      <x:c r="C31" s="78" t="str">
        <x:v>运动裤</x:v>
      </x:c>
      <x:c r="D31" s="78" t="str">
        <x:v>黑色</x:v>
      </x:c>
      <x:c r="E31" s="78" t="str">
        <x:v>M/L/XL/2XL</x:v>
      </x:c>
      <x:c r="F31" s="79" t="n">
        <x:v>99</x:v>
      </x:c>
      <x:c r="G31" s="77" t="str">
        <x:v>卫裤面料，束脚版型</x:v>
      </x:c>
      <x:c r="H31" s="77" t="str">
        <x:v>束脚卫裤运动长裤，卫裤面料，束脚版型</x:v>
      </x:c>
      <x:c r="I31" s="78" t="str">
        <x:v>长裤</x:v>
      </x:c>
      <x:c r="J31" s="78" t="str">
        <x:v>演示商品（标题/价格/主图来自淘宝搜索页，颜色/尺码/面料为规范化补齐）</x:v>
      </x:c>
      <x:c r="K31" s="78" t="str">
        <x:v>SKU_1017872059472.jpg</x:v>
      </x:c>
      <x:c r="L31" s="78" t="str">
        <x:v>运动裤/SKU_1017872059472.jpg</x:v>
      </x:c>
      <x:c r="M31" s="91" t="n">
        <x:v>1017872059472</x:v>
      </x:c>
      <x:c r="N31" s="77" t="str">
        <x:v>帛先生秋季束脚裤卫裤男款宽松休闲裤春秋运动裤男士裤子抗皱长裤</x:v>
      </x:c>
      <x:c r="O31" s="77" t="str">
        <x:v>https://item.taobao.com/item.htm?id=1017872059472</x:v>
      </x:c>
      <x:c r="P31" s="77" t="str">
        <x:v>淘宝搜索页主图</x:v>
      </x:c>
      <x:c r="Q31" s="77" t="str">
        <x:v>http://img.alicdn.com/img/O1CN015TH380249toDywSEW_!!4611686018427387141-0-item_pic.jpg</x:v>
      </x:c>
      <x:c r="R31" s="77" t="str">
        <x:v>混淆对2：运动裤 vs 工装裤</x:v>
      </x:c>
    </x:row>
    <x:row r="32" ht="26" customHeight="1">
      <x:c r="A32" s="77" t="str">
        <x:v>冰丝纯白五分短裤</x:v>
      </x:c>
      <x:c r="B32" s="78" t="str">
        <x:v>下装</x:v>
      </x:c>
      <x:c r="C32" s="78" t="str">
        <x:v>短裤</x:v>
      </x:c>
      <x:c r="D32" s="78" t="str">
        <x:v>白色</x:v>
      </x:c>
      <x:c r="E32" s="78" t="str">
        <x:v>M/L/XL</x:v>
      </x:c>
      <x:c r="F32" s="79" t="n">
        <x:v>68</x:v>
      </x:c>
      <x:c r="G32" s="77" t="str">
        <x:v>冰丝面料，宽松五分版型</x:v>
      </x:c>
      <x:c r="H32" s="77" t="str">
        <x:v>冰丝纯白五分短裤，冰丝面料，宽松五分版型</x:v>
      </x:c>
      <x:c r="I32" s="78" t="str">
        <x:v>短裤</x:v>
      </x:c>
      <x:c r="J32" s="78" t="str">
        <x:v>演示商品（标题/价格/主图来自淘宝搜索页，颜色/尺码/面料为规范化补齐）</x:v>
      </x:c>
      <x:c r="K32" s="78" t="str">
        <x:v>SKU_771725028809.jpg</x:v>
      </x:c>
      <x:c r="L32" s="78" t="str">
        <x:v>短裤/SKU_771725028809.jpg</x:v>
      </x:c>
      <x:c r="M32" s="91" t="n">
        <x:v>771725028809</x:v>
      </x:c>
      <x:c r="N32" s="77" t="str">
        <x:v>2024夏季新款冰丝短裤男生休闲宽松百搭五分中裤薄款纯白西裤夏天</x:v>
      </x:c>
      <x:c r="O32" s="77" t="str">
        <x:v>https://item.taobao.com/item.htm?id=771725028809</x:v>
      </x:c>
      <x:c r="P32" s="77" t="str">
        <x:v>淘宝搜索页主图</x:v>
      </x:c>
      <x:c r="Q32" s="77" t="str">
        <x:v>http://img.alicdn.com/img/i2/168120008/O1CN01auE5mE1Bvi6ljNQxJ_!!0-saturn_solar.jpg</x:v>
      </x:c>
      <x:c r="R32" s="77" t="str">
        <x:v>混淆对3：短裤 vs 七分裤</x:v>
      </x:c>
    </x:row>
    <x:row r="33" ht="26" customHeight="1">
      <x:c r="A33" s="77" t="str">
        <x:v>速干运动休闲短裤</x:v>
      </x:c>
      <x:c r="B33" s="78" t="str">
        <x:v>下装</x:v>
      </x:c>
      <x:c r="C33" s="78" t="str">
        <x:v>短裤</x:v>
      </x:c>
      <x:c r="D33" s="78" t="str">
        <x:v>黑色</x:v>
      </x:c>
      <x:c r="E33" s="78" t="str">
        <x:v>M/L/XL</x:v>
      </x:c>
      <x:c r="F33" s="79" t="n">
        <x:v>119</x:v>
      </x:c>
      <x:c r="G33" s="77" t="str">
        <x:v>轻薄速干，直筒宽松</x:v>
      </x:c>
      <x:c r="H33" s="77" t="str">
        <x:v>速干运动休闲短裤，轻薄速干，直筒宽松</x:v>
      </x:c>
      <x:c r="I33" s="78" t="str">
        <x:v>短裤</x:v>
      </x:c>
      <x:c r="J33" s="78" t="str">
        <x:v>演示商品（标题/价格/主图来自淘宝搜索页，颜色/尺码/面料为规范化补齐）</x:v>
      </x:c>
      <x:c r="K33" s="78" t="str">
        <x:v>SKU_1038033650188.jpg</x:v>
      </x:c>
      <x:c r="L33" s="78" t="str">
        <x:v>短裤/SKU_1038033650188.jpg</x:v>
      </x:c>
      <x:c r="M33" s="91" t="n">
        <x:v>1038033650188</x:v>
      </x:c>
      <x:c r="N33" s="77" t="str">
        <x:v>HEA 街头潮牌速干运动休闲短裤男夏季薄款可收纳设计直筒宽松裤子</x:v>
      </x:c>
      <x:c r="O33" s="77" t="str">
        <x:v>https://item.taobao.com/item.htm?id=1038033650188</x:v>
      </x:c>
      <x:c r="P33" s="77" t="str">
        <x:v>淘宝搜索页主图</x:v>
      </x:c>
      <x:c r="Q33" s="77" t="str">
        <x:v>http://img.alicdn.com/img/O1CN01AzjhPA1ufpGps5s7e_!!407456065.jpg</x:v>
      </x:c>
      <x:c r="R33" s="77" t="str">
        <x:v>混淆对3：短裤 vs 七分裤</x:v>
      </x:c>
    </x:row>
    <x:row r="34" ht="26" customHeight="1">
      <x:c r="A34" s="77" t="str">
        <x:v>白色冰丝运动短裤</x:v>
      </x:c>
      <x:c r="B34" s="78" t="str">
        <x:v>下装</x:v>
      </x:c>
      <x:c r="C34" s="78" t="str">
        <x:v>短裤</x:v>
      </x:c>
      <x:c r="D34" s="78" t="str">
        <x:v>白色</x:v>
      </x:c>
      <x:c r="E34" s="78" t="str">
        <x:v>M/L/XL</x:v>
      </x:c>
      <x:c r="F34" s="79" t="n">
        <x:v>118</x:v>
      </x:c>
      <x:c r="G34" s="77" t="str">
        <x:v>冰丝速干，五分版型</x:v>
      </x:c>
      <x:c r="H34" s="77" t="str">
        <x:v>白色冰丝运动短裤，冰丝速干，五分版型</x:v>
      </x:c>
      <x:c r="I34" s="78" t="str">
        <x:v>短裤</x:v>
      </x:c>
      <x:c r="J34" s="78" t="str">
        <x:v>演示商品（标题/价格/主图来自淘宝搜索页，颜色/尺码/面料为规范化补齐）</x:v>
      </x:c>
      <x:c r="K34" s="78" t="str">
        <x:v>SKU_717349630875.jpg</x:v>
      </x:c>
      <x:c r="L34" s="78" t="str">
        <x:v>短裤/SKU_717349630875.jpg</x:v>
      </x:c>
      <x:c r="M34" s="91" t="n">
        <x:v>717349630875</x:v>
      </x:c>
      <x:c r="N34" s="77" t="str">
        <x:v>男士白色运动短裤男潮牌美式冰丝速干裤2026新款半截裤夏季五分裤</x:v>
      </x:c>
      <x:c r="O34" s="77" t="str">
        <x:v>https://item.taobao.com/item.htm?id=717349630875</x:v>
      </x:c>
      <x:c r="P34" s="77" t="str">
        <x:v>淘宝搜索页主图</x:v>
      </x:c>
      <x:c r="Q34" s="77" t="str">
        <x:v>http://img.alicdn.com/img/O1CN01EyVGozLoMZC2vH2e_!!4611686018427385593-0-item_pic.jpg</x:v>
      </x:c>
      <x:c r="R34" s="77" t="str">
        <x:v>混淆对3：短裤 vs 七分裤</x:v>
      </x:c>
    </x:row>
    <x:row r="35" ht="26" customHeight="1">
      <x:c r="A35" s="81" t="str">
        <x:v>藏青印花宽松短袖T恤</x:v>
      </x:c>
      <x:c r="B35" s="81" t="str">
        <x:v>上装</x:v>
      </x:c>
      <x:c r="C35" s="81" t="str">
        <x:v>T恤</x:v>
      </x:c>
      <x:c r="D35" s="81" t="str">
        <x:v>深蓝</x:v>
      </x:c>
      <x:c r="E35" s="81" t="str">
        <x:v>M/L/XL/2XL</x:v>
      </x:c>
      <x:c r="F35" s="82" t="n">
        <x:v>49.9</x:v>
      </x:c>
      <x:c r="G35" s="81" t="str">
        <x:v>重磅纯棉，宽松落肩版型</x:v>
      </x:c>
      <x:c r="H35" s="81" t="str">
        <x:v>藏青印花宽松短袖T恤，重磅纯棉，宽松落肩版型</x:v>
      </x:c>
      <x:c r="I35" s="81" t="str"/>
      <x:c r="J35" s="81" t="str">
        <x:v>演示商品（标题/价格/主图来自淘宝搜索页，颜色/尺码/面料为人工规范化补齐）</x:v>
      </x:c>
      <x:c r="K35" s="81" t="str">
        <x:v>SKU_1029663872065.webp</x:v>
      </x:c>
      <x:c r="L35" s="81" t="str">
        <x:v>T恤/SKU_1029663872065.webp</x:v>
      </x:c>
      <x:c r="M35" s="92" t="n">
        <x:v>1029663872065</x:v>
      </x:c>
      <x:c r="N35" s="81" t="str">
        <x:v>美式潮牌纯棉藏青色短袖t恤男款2026夏季新款青少年宽松重磅体恤</x:v>
      </x:c>
      <x:c r="O35" s="81" t="str">
        <x:v>https://item.taobao.com/item.htm?id=1029663872065</x:v>
      </x:c>
      <x:c r="P35" s="81" t="str">
        <x:v>淘宝搜索页主图</x:v>
      </x:c>
      <x:c r="Q35" s="81" t="str">
        <x:v>https://img.alicdn.com/img/i2/5229553556/O1CN01jXpSvr1c8hXNImBql_!!4611686018427381652-0-saturn_solar.jpg</x:v>
      </x:c>
      <x:c r="R35" s="81" t="str">
        <x:v>扩展批次：基础类别</x:v>
      </x:c>
    </x:row>
    <x:row r="36" ht="26" customHeight="1">
      <x:c r="A36" s="81" t="str">
        <x:v>白色亨利领亚麻短袖T恤</x:v>
      </x:c>
      <x:c r="B36" s="81" t="str">
        <x:v>上装</x:v>
      </x:c>
      <x:c r="C36" s="81" t="str">
        <x:v>T恤</x:v>
      </x:c>
      <x:c r="D36" s="81" t="str">
        <x:v>白色</x:v>
      </x:c>
      <x:c r="E36" s="81" t="str">
        <x:v>M/L/XL</x:v>
      </x:c>
      <x:c r="F36" s="82" t="n">
        <x:v>178</x:v>
      </x:c>
      <x:c r="G36" s="81" t="str">
        <x:v>天丝亚麻混纺，修身亨利领版型</x:v>
      </x:c>
      <x:c r="H36" s="81" t="str">
        <x:v>白色亨利领亚麻短袖T恤，天丝亚麻混纺，修身亨利领版型</x:v>
      </x:c>
      <x:c r="I36" s="81" t="str"/>
      <x:c r="J36" s="81" t="str">
        <x:v>演示商品（标题/价格/主图来自淘宝搜索页，颜色/尺码/面料为人工规范化补齐）</x:v>
      </x:c>
      <x:c r="K36" s="81" t="str">
        <x:v>SKU_1064825131769.webp</x:v>
      </x:c>
      <x:c r="L36" s="81" t="str">
        <x:v>T恤/SKU_1064825131769.webp</x:v>
      </x:c>
      <x:c r="M36" s="92" t="n">
        <x:v>1064825131769</x:v>
      </x:c>
      <x:c r="N36" s="81" t="str">
        <x:v>ttelen.天丝亚麻 基础款丨凉感抗皱亨利领V领运动休闲简约短袖T恤</x:v>
      </x:c>
      <x:c r="O36" s="81" t="str">
        <x:v>https://item.taobao.com/item.htm?id=1064825131769</x:v>
      </x:c>
      <x:c r="P36" s="81" t="str">
        <x:v>淘宝搜索页主图</x:v>
      </x:c>
      <x:c r="Q36" s="81" t="str">
        <x:v>https://img.alicdn.com/img/O1CN01IbRDInqtqGL2vH2e_!!2937234063.jpg</x:v>
      </x:c>
      <x:c r="R36" s="81" t="str">
        <x:v>扩展批次：基础类别</x:v>
      </x:c>
    </x:row>
    <x:row r="37" ht="26" customHeight="1">
      <x:c r="A37" s="81" t="str">
        <x:v>卡其色立领亚麻长袖衬衫</x:v>
      </x:c>
      <x:c r="B37" s="81" t="str">
        <x:v>上装</x:v>
      </x:c>
      <x:c r="C37" s="81" t="str">
        <x:v>衬衫</x:v>
      </x:c>
      <x:c r="D37" s="81" t="str">
        <x:v>卡其</x:v>
      </x:c>
      <x:c r="E37" s="81" t="str">
        <x:v>M/L/XL</x:v>
      </x:c>
      <x:c r="F37" s="82" t="n">
        <x:v>399</x:v>
      </x:c>
      <x:c r="G37" s="81" t="str">
        <x:v>天丝亚麻混纺，轻薄宽松版型</x:v>
      </x:c>
      <x:c r="H37" s="81" t="str">
        <x:v>卡其色立领亚麻长袖衬衫，天丝亚麻混纺，轻薄宽松版型</x:v>
      </x:c>
      <x:c r="I37" s="81" t="str"/>
      <x:c r="J37" s="81" t="str">
        <x:v>演示商品（标题/价格/主图来自淘宝搜索页，颜色/尺码/面料为人工规范化补齐）</x:v>
      </x:c>
      <x:c r="K37" s="81" t="str">
        <x:v>SKU_1064115284316.webp</x:v>
      </x:c>
      <x:c r="L37" s="81" t="str">
        <x:v>衬衫/SKU_1064115284316.webp</x:v>
      </x:c>
      <x:c r="M37" s="92" t="n">
        <x:v>1064115284316</x:v>
      </x:c>
      <x:c r="N37" s="81" t="str">
        <x:v>CHINISM「天丝亚麻莱赛尔」刺绣轻薄长袖衬衫男透气休闲立领衬衣</x:v>
      </x:c>
      <x:c r="O37" s="81" t="str">
        <x:v>https://item.taobao.com/item.htm?id=1064115284316</x:v>
      </x:c>
      <x:c r="P37" s="81" t="str">
        <x:v>淘宝搜索页主图</x:v>
      </x:c>
      <x:c r="Q37" s="81" t="str">
        <x:v>https://img.alicdn.com/img/O1CN01ALoSgZ1JR2iomLazD_!!4611686018427386832-0-item_pic.jpg</x:v>
      </x:c>
      <x:c r="R37" s="81" t="str">
        <x:v>扩展批次：基础类别</x:v>
      </x:c>
    </x:row>
    <x:row r="38" ht="26" customHeight="1">
      <x:c r="A38" s="81" t="str">
        <x:v>白色宫廷扣短袖衬衫</x:v>
      </x:c>
      <x:c r="B38" s="81" t="str">
        <x:v>上装</x:v>
      </x:c>
      <x:c r="C38" s="81" t="str">
        <x:v>衬衫</x:v>
      </x:c>
      <x:c r="D38" s="81" t="str">
        <x:v>白色</x:v>
      </x:c>
      <x:c r="E38" s="81" t="str">
        <x:v>M/L/XL</x:v>
      </x:c>
      <x:c r="F38" s="82" t="n">
        <x:v>159</x:v>
      </x:c>
      <x:c r="G38" s="81" t="str">
        <x:v>轻薄混纺，宽松垂感版型</x:v>
      </x:c>
      <x:c r="H38" s="81" t="str">
        <x:v>白色宫廷扣短袖衬衫，轻薄混纺，宽松垂感版型</x:v>
      </x:c>
      <x:c r="I38" s="81" t="str"/>
      <x:c r="J38" s="81" t="str">
        <x:v>演示商品（标题/价格/主图来自淘宝搜索页，颜色/尺码/面料为人工规范化补齐）</x:v>
      </x:c>
      <x:c r="K38" s="81" t="str">
        <x:v>SKU_1047575432476.webp</x:v>
      </x:c>
      <x:c r="L38" s="81" t="str">
        <x:v>衬衫/SKU_1047575432476.webp</x:v>
      </x:c>
      <x:c r="M38" s="92" t="n">
        <x:v>1047575432476</x:v>
      </x:c>
      <x:c r="N38" s="81" t="str">
        <x:v>CHICERRO西西里男装小众轻奢收褶宫廷扣短袖白色衬衫男宽松休闲潮</x:v>
      </x:c>
      <x:c r="O38" s="81" t="str">
        <x:v>https://item.taobao.com/item.htm?id=1047575432476</x:v>
      </x:c>
      <x:c r="P38" s="81" t="str">
        <x:v>淘宝搜索页主图</x:v>
      </x:c>
      <x:c r="Q38" s="81" t="str">
        <x:v>https://img.alicdn.com/img/O1CN01HFDL531IkRrwjyP9k_!!2030700931.jpg</x:v>
      </x:c>
      <x:c r="R38" s="81" t="str">
        <x:v>扩展批次：基础类别</x:v>
      </x:c>
    </x:row>
    <x:row r="39" ht="26" customHeight="1">
      <x:c r="A39" s="81" t="str">
        <x:v>白色冰丝免烫短袖衬衫</x:v>
      </x:c>
      <x:c r="B39" s="81" t="str">
        <x:v>上装</x:v>
      </x:c>
      <x:c r="C39" s="81" t="str">
        <x:v>衬衫</x:v>
      </x:c>
      <x:c r="D39" s="81" t="str">
        <x:v>白色</x:v>
      </x:c>
      <x:c r="E39" s="81" t="str">
        <x:v>M/L/XL/2XL/3XL</x:v>
      </x:c>
      <x:c r="F39" s="82" t="n">
        <x:v>98</x:v>
      </x:c>
      <x:c r="G39" s="81" t="str">
        <x:v>冰丝感抗皱面料，宽松版型</x:v>
      </x:c>
      <x:c r="H39" s="81" t="str">
        <x:v>白色冰丝免烫短袖衬衫，冰丝感抗皱面料，宽松版型</x:v>
      </x:c>
      <x:c r="I39" s="81" t="str"/>
      <x:c r="J39" s="81" t="str">
        <x:v>演示商品（标题/价格/主图来自淘宝搜索页，颜色/尺码/面料为人工规范化补齐）</x:v>
      </x:c>
      <x:c r="K39" s="81" t="str">
        <x:v>SKU_702938543604.webp</x:v>
      </x:c>
      <x:c r="L39" s="81" t="str">
        <x:v>衬衫/SKU_702938543604.webp</x:v>
      </x:c>
      <x:c r="M39" s="92" t="n">
        <x:v>702938543604</x:v>
      </x:c>
      <x:c r="N39" s="81" t="str">
        <x:v>衬衫男短袖垂感冰丝夏季抗皱白衬衣大码宽松休闲高级半袖上衣海边</x:v>
      </x:c>
      <x:c r="O39" s="81" t="str">
        <x:v>https://item.taobao.com/item.htm?id=702938543604</x:v>
      </x:c>
      <x:c r="P39" s="81" t="str">
        <x:v>淘宝搜索页主图</x:v>
      </x:c>
      <x:c r="Q39" s="81" t="str">
        <x:v>https://gw.alicdn.com/imgextra/O1CN01HndcDSOeoRC1chua_!!3865870697-0-picasso.jpg</x:v>
      </x:c>
      <x:c r="R39" s="81" t="str">
        <x:v>扩展批次：基础类别</x:v>
      </x:c>
    </x:row>
    <x:row r="40" ht="26" customHeight="1">
      <x:c r="A40" s="81" t="str">
        <x:v>浅灰重磅拉链开衫卫衣</x:v>
      </x:c>
      <x:c r="B40" s="81" t="str">
        <x:v>上装</x:v>
      </x:c>
      <x:c r="C40" s="81" t="str">
        <x:v>卫衣</x:v>
      </x:c>
      <x:c r="D40" s="81" t="str">
        <x:v>浅灰</x:v>
      </x:c>
      <x:c r="E40" s="81" t="str">
        <x:v>M/L/XL/2XL</x:v>
      </x:c>
      <x:c r="F40" s="82" t="n">
        <x:v>138</x:v>
      </x:c>
      <x:c r="G40" s="81" t="str">
        <x:v>420g棉质空气层，宽松立领版型</x:v>
      </x:c>
      <x:c r="H40" s="81" t="str">
        <x:v>浅灰重磅拉链开衫卫衣，420g棉质空气层，宽松立领版型</x:v>
      </x:c>
      <x:c r="I40" s="81" t="str"/>
      <x:c r="J40" s="81" t="str">
        <x:v>演示商品（标题/价格/主图来自淘宝搜索页，颜色/尺码/面料为人工规范化补齐）</x:v>
      </x:c>
      <x:c r="K40" s="81" t="str">
        <x:v>SKU_971319657197.webp</x:v>
      </x:c>
      <x:c r="L40" s="81" t="str">
        <x:v>卫衣/SKU_971319657197.webp</x:v>
      </x:c>
      <x:c r="M40" s="92" t="n">
        <x:v>971319657197</x:v>
      </x:c>
      <x:c r="N40" s="81" t="str">
        <x:v>WIE STUDIO420g重磅卫衣外套秋季短款夹克男运动简约休闲纯色开衫</x:v>
      </x:c>
      <x:c r="O40" s="81" t="str">
        <x:v>https://item.taobao.com/item.htm?id=971319657197</x:v>
      </x:c>
      <x:c r="P40" s="81" t="str">
        <x:v>淘宝搜索页主图</x:v>
      </x:c>
      <x:c r="Q40" s="81" t="str">
        <x:v>https://img.alicdn.com/img/O1CN01oZHHy31VXFPhtRHXw_!!2214609262662.jpg</x:v>
      </x:c>
      <x:c r="R40" s="81" t="str">
        <x:v>扩展批次：基础类别</x:v>
      </x:c>
    </x:row>
    <x:row r="41" ht="26" customHeight="1">
      <x:c r="A41" s="81" t="str">
        <x:v>灰黑刺绣拼接棒球夹克</x:v>
      </x:c>
      <x:c r="B41" s="81" t="str">
        <x:v>上装</x:v>
      </x:c>
      <x:c r="C41" s="81" t="str">
        <x:v>夹克</x:v>
      </x:c>
      <x:c r="D41" s="81" t="str">
        <x:v>灰黑</x:v>
      </x:c>
      <x:c r="E41" s="81" t="str">
        <x:v>M/L/XL</x:v>
      </x:c>
      <x:c r="F41" s="82" t="n">
        <x:v>399</x:v>
      </x:c>
      <x:c r="G41" s="81" t="str">
        <x:v>棉混纺拼接，宽松棒球服版型</x:v>
      </x:c>
      <x:c r="H41" s="81" t="str">
        <x:v>灰黑刺绣拼接棒球夹克，棉混纺拼接，宽松棒球服版型</x:v>
      </x:c>
      <x:c r="I41" s="81" t="str"/>
      <x:c r="J41" s="81" t="str">
        <x:v>演示商品（标题/价格/主图来自淘宝搜索页，颜色/尺码/面料为人工规范化补齐）</x:v>
      </x:c>
      <x:c r="K41" s="81" t="str">
        <x:v>SKU_875813408998.webp</x:v>
      </x:c>
      <x:c r="L41" s="81" t="str">
        <x:v>夹克/SKU_875813408998.webp</x:v>
      </x:c>
      <x:c r="M41" s="92" t="n">
        <x:v>875813408998</x:v>
      </x:c>
      <x:c r="N41" s="81" t="str">
        <x:v>【Achock官方店】翻领刺绣棒球服外套春季新款复古情侣立领夹克潮</x:v>
      </x:c>
      <x:c r="O41" s="81" t="str">
        <x:v>https://item.taobao.com/item.htm?id=875813408998</x:v>
      </x:c>
      <x:c r="P41" s="81" t="str">
        <x:v>淘宝搜索页主图</x:v>
      </x:c>
      <x:c r="Q41" s="81" t="str">
        <x:v>https://img.alicdn.com/img/O1CN01cREcpTuV8bC1chua_!!2212497512626.jpg</x:v>
      </x:c>
      <x:c r="R41" s="81" t="str">
        <x:v>扩展批次：基础类别</x:v>
      </x:c>
    </x:row>
    <x:row r="42" ht="26" customHeight="1">
      <x:c r="A42" s="81" t="str">
        <x:v>深灰三防立领工装夹克</x:v>
      </x:c>
      <x:c r="B42" s="81" t="str">
        <x:v>上装</x:v>
      </x:c>
      <x:c r="C42" s="81" t="str">
        <x:v>夹克</x:v>
      </x:c>
      <x:c r="D42" s="81" t="str">
        <x:v>深灰</x:v>
      </x:c>
      <x:c r="E42" s="81" t="str">
        <x:v>M/L/XL/2XL</x:v>
      </x:c>
      <x:c r="F42" s="82" t="n">
        <x:v>88.81</x:v>
      </x:c>
      <x:c r="G42" s="81" t="str">
        <x:v>三防梭织面料，宽松短款版型</x:v>
      </x:c>
      <x:c r="H42" s="81" t="str">
        <x:v>深灰三防立领工装夹克，三防梭织面料，宽松短款版型</x:v>
      </x:c>
      <x:c r="I42" s="81" t="str"/>
      <x:c r="J42" s="81" t="str">
        <x:v>演示商品（标题/价格/主图来自淘宝搜索页，颜色/尺码/面料为人工规范化补齐）</x:v>
      </x:c>
      <x:c r="K42" s="81" t="str">
        <x:v>SKU_964323165122.webp</x:v>
      </x:c>
      <x:c r="L42" s="81" t="str">
        <x:v>夹克/SKU_964323165122.webp</x:v>
      </x:c>
      <x:c r="M42" s="92" t="n">
        <x:v>964323165122</x:v>
      </x:c>
      <x:c r="N42" s="81" t="str">
        <x:v>cleanfit短款工装外套男秋季机能三防立领冲锋衣正肩美式潮牌夹克</x:v>
      </x:c>
      <x:c r="O42" s="81" t="str">
        <x:v>https://item.taobao.com/item.htm?id=964323165122</x:v>
      </x:c>
      <x:c r="P42" s="81" t="str">
        <x:v>淘宝搜索页主图</x:v>
      </x:c>
      <x:c r="Q42" s="81" t="str">
        <x:v>https://img.alicdn.com/img/O1CN01kFIa7G26W0783eL1u_!!4611686018427384820-0-item_pic.jpg</x:v>
      </x:c>
      <x:c r="R42" s="81" t="str">
        <x:v>扩展批次：基础类别</x:v>
      </x:c>
    </x:row>
    <x:row r="43" ht="26" customHeight="1">
      <x:c r="A43" s="81" t="str">
        <x:v>黑色微喇直筒牛仔裤</x:v>
      </x:c>
      <x:c r="B43" s="81" t="str">
        <x:v>下装</x:v>
      </x:c>
      <x:c r="C43" s="81" t="str">
        <x:v>牛仔裤</x:v>
      </x:c>
      <x:c r="D43" s="81" t="str">
        <x:v>黑色</x:v>
      </x:c>
      <x:c r="E43" s="81" t="str">
        <x:v>28/29/30/31/32/33</x:v>
      </x:c>
      <x:c r="F43" s="82" t="n">
        <x:v>78</x:v>
      </x:c>
      <x:c r="G43" s="81" t="str">
        <x:v>水洗丹宁，微喇直筒版型</x:v>
      </x:c>
      <x:c r="H43" s="81" t="str">
        <x:v>黑色微喇直筒牛仔裤，水洗丹宁，微喇直筒版型</x:v>
      </x:c>
      <x:c r="I43" s="81" t="str">
        <x:v>长裤</x:v>
      </x:c>
      <x:c r="J43" s="81" t="str">
        <x:v>演示商品（标题/价格/主图来自淘宝搜索页，颜色/尺码/面料为人工规范化补齐）</x:v>
      </x:c>
      <x:c r="K43" s="81" t="str">
        <x:v>SKU_833587835930.webp</x:v>
      </x:c>
      <x:c r="L43" s="81" t="str">
        <x:v>牛仔裤/SKU_833587835930.webp</x:v>
      </x:c>
      <x:c r="M43" s="92" t="n">
        <x:v>833587835930</x:v>
      </x:c>
      <x:c r="N43" s="81" t="str">
        <x:v>cleanfit初秋薄款黑色弯刀微喇牛仔裤男vibe美式潮牌百搭直筒裤子</x:v>
      </x:c>
      <x:c r="O43" s="81" t="str">
        <x:v>https://item.taobao.com/item.htm?id=833587835930</x:v>
      </x:c>
      <x:c r="P43" s="81" t="str">
        <x:v>淘宝搜索页主图</x:v>
      </x:c>
      <x:c r="Q43" s="81" t="str">
        <x:v>https://img.alicdn.com/img/O1CN01MEjPbw1QbIt3ncaEh_!!4611686018427382442-0-item_pic.jpg</x:v>
      </x:c>
      <x:c r="R43" s="81" t="str">
        <x:v>混淆对1：牛仔裤 vs 休闲裤</x:v>
      </x:c>
    </x:row>
    <x:row r="44" ht="26" customHeight="1">
      <x:c r="A44" s="81" t="str">
        <x:v>冰蓝水洗直筒牛仔裤</x:v>
      </x:c>
      <x:c r="B44" s="81" t="str">
        <x:v>下装</x:v>
      </x:c>
      <x:c r="C44" s="81" t="str">
        <x:v>牛仔裤</x:v>
      </x:c>
      <x:c r="D44" s="81" t="str">
        <x:v>浅蓝</x:v>
      </x:c>
      <x:c r="E44" s="81" t="str">
        <x:v>28/29/30/31/32/33/34</x:v>
      </x:c>
      <x:c r="F44" s="82" t="n">
        <x:v>179</x:v>
      </x:c>
      <x:c r="G44" s="81" t="str">
        <x:v>水洗丹宁，宽松直筒版型</x:v>
      </x:c>
      <x:c r="H44" s="81" t="str">
        <x:v>冰蓝水洗直筒牛仔裤，水洗丹宁，宽松直筒版型</x:v>
      </x:c>
      <x:c r="I44" s="81" t="str">
        <x:v>长裤</x:v>
      </x:c>
      <x:c r="J44" s="81" t="str">
        <x:v>演示商品（标题/价格/主图来自淘宝搜索页，颜色/尺码/面料为人工规范化补齐）</x:v>
      </x:c>
      <x:c r="K44" s="81" t="str">
        <x:v>SKU_897352973681.webp</x:v>
      </x:c>
      <x:c r="L44" s="81" t="str">
        <x:v>牛仔裤/SKU_897352973681.webp</x:v>
      </x:c>
      <x:c r="M44" s="92" t="n">
        <x:v>897352973681</x:v>
      </x:c>
      <x:c r="N44" s="81" t="str">
        <x:v>POPLAR CLASSIC水洗牛王奶油复古冰蓝cleanfit直筒A字牛仔长裤男</x:v>
      </x:c>
      <x:c r="O44" s="81" t="str">
        <x:v>https://item.taobao.com/item.htm?id=897352973681</x:v>
      </x:c>
      <x:c r="P44" s="81" t="str">
        <x:v>淘宝搜索页主图</x:v>
      </x:c>
      <x:c r="Q44" s="81" t="str">
        <x:v>https://img.alicdn.com/img/i2/483200154/O1CN01dE5jFG1D0a2fZuv9m_!!4611686018427382938-0-saturn_solar.jpg</x:v>
      </x:c>
      <x:c r="R44" s="81" t="str">
        <x:v>混淆对1：牛仔裤 vs 休闲裤</x:v>
      </x:c>
    </x:row>
    <x:row r="45" ht="26" customHeight="1">
      <x:c r="A45" s="81" t="str">
        <x:v>咖色亚麻宽松休闲长裤</x:v>
      </x:c>
      <x:c r="B45" s="81" t="str">
        <x:v>下装</x:v>
      </x:c>
      <x:c r="C45" s="81" t="str">
        <x:v>休闲长裤</x:v>
      </x:c>
      <x:c r="D45" s="81" t="str">
        <x:v>棕色</x:v>
      </x:c>
      <x:c r="E45" s="81" t="str">
        <x:v>29/30/31/32/33/34</x:v>
      </x:c>
      <x:c r="F45" s="82" t="n">
        <x:v>239</x:v>
      </x:c>
      <x:c r="G45" s="81" t="str">
        <x:v>亚麻混纺，宽松直筒版型</x:v>
      </x:c>
      <x:c r="H45" s="81" t="str">
        <x:v>咖色亚麻宽松休闲长裤，亚麻混纺，宽松直筒版型</x:v>
      </x:c>
      <x:c r="I45" s="81" t="str">
        <x:v>长裤</x:v>
      </x:c>
      <x:c r="J45" s="81" t="str">
        <x:v>演示商品（标题/价格/主图来自淘宝搜索页，颜色/尺码/面料为人工规范化补齐）</x:v>
      </x:c>
      <x:c r="K45" s="81" t="str">
        <x:v>SKU_1038712211658.webp</x:v>
      </x:c>
      <x:c r="L45" s="81" t="str">
        <x:v>休闲长裤/SKU_1038712211658.webp</x:v>
      </x:c>
      <x:c r="M45" s="92" t="n">
        <x:v>1038712211658</x:v>
      </x:c>
      <x:c r="N45" s="81" t="str">
        <x:v>Dickies咖色亚麻休闲裤男士2026秋季新款宽松直筒阔腿垂感长裤子</x:v>
      </x:c>
      <x:c r="O45" s="81" t="str">
        <x:v>https://item.taobao.com/item.htm?id=1038712211658</x:v>
      </x:c>
      <x:c r="P45" s="81" t="str">
        <x:v>淘宝搜索页主图</x:v>
      </x:c>
      <x:c r="Q45" s="81" t="str">
        <x:v>https://img.alicdn.com/img/O1CN01GXRS5f2HMLaZnSdqS_!!2222059889136.jpg</x:v>
      </x:c>
      <x:c r="R45" s="81" t="str">
        <x:v>混淆对1：牛仔裤 vs 休闲裤</x:v>
      </x:c>
    </x:row>
    <x:row r="46" ht="26" customHeight="1">
      <x:c r="A46" s="81" t="str">
        <x:v>棕色垂感直筒西裤</x:v>
      </x:c>
      <x:c r="B46" s="81" t="str">
        <x:v>下装</x:v>
      </x:c>
      <x:c r="C46" s="81" t="str">
        <x:v>西裤</x:v>
      </x:c>
      <x:c r="D46" s="81" t="str">
        <x:v>棕色</x:v>
      </x:c>
      <x:c r="E46" s="81" t="str">
        <x:v>29/30/31/32/33/34</x:v>
      </x:c>
      <x:c r="F46" s="82" t="n">
        <x:v>99</x:v>
      </x:c>
      <x:c r="G46" s="81" t="str">
        <x:v>垂感混纺面料，宽松直筒版型</x:v>
      </x:c>
      <x:c r="H46" s="81" t="str">
        <x:v>棕色垂感直筒西裤，垂感混纺面料，宽松直筒版型</x:v>
      </x:c>
      <x:c r="I46" s="81" t="str">
        <x:v>长裤</x:v>
      </x:c>
      <x:c r="J46" s="81" t="str">
        <x:v>演示商品（标题/价格/主图来自淘宝搜索页，颜色/尺码/面料为人工规范化补齐）</x:v>
      </x:c>
      <x:c r="K46" s="81" t="str">
        <x:v>SKU_826030272614.webp</x:v>
      </x:c>
      <x:c r="L46" s="81" t="str">
        <x:v>西裤/SKU_826030272614.webp</x:v>
      </x:c>
      <x:c r="M46" s="92" t="n">
        <x:v>826030272614</x:v>
      </x:c>
      <x:c r="N46" s="81" t="str">
        <x:v>直筒休闲裤春秋季垂感裤子男阔腿西裤百搭男生高级感西装长裤男款</x:v>
      </x:c>
      <x:c r="O46" s="81" t="str">
        <x:v>https://item.taobao.com/item.htm?id=826030272614</x:v>
      </x:c>
      <x:c r="P46" s="81" t="str">
        <x:v>淘宝搜索页主图</x:v>
      </x:c>
      <x:c r="Q46" s="81" t="str">
        <x:v>https://img.alicdn.com/img/O1CN01735dHM26zll6twVIm_!!0-item_pic.jpg</x:v>
      </x:c>
      <x:c r="R46" s="81" t="str">
        <x:v>扩展批次：基础类别</x:v>
      </x:c>
    </x:row>
    <x:row r="47" ht="26" customHeight="1">
      <x:c r="A47" s="81" t="str">
        <x:v>深灰工字褶垂感西裤</x:v>
      </x:c>
      <x:c r="B47" s="81" t="str">
        <x:v>下装</x:v>
      </x:c>
      <x:c r="C47" s="81" t="str">
        <x:v>西裤</x:v>
      </x:c>
      <x:c r="D47" s="81" t="str">
        <x:v>深灰</x:v>
      </x:c>
      <x:c r="E47" s="81" t="str">
        <x:v>28/29/30/31/32</x:v>
      </x:c>
      <x:c r="F47" s="82" t="n">
        <x:v>251.1</x:v>
      </x:c>
      <x:c r="G47" s="81" t="str">
        <x:v>TR垂感面料，A字廓形版型</x:v>
      </x:c>
      <x:c r="H47" s="81" t="str">
        <x:v>深灰工字褶垂感西裤，TR垂感面料，A字廓形版型</x:v>
      </x:c>
      <x:c r="I47" s="81" t="str">
        <x:v>长裤</x:v>
      </x:c>
      <x:c r="J47" s="81" t="str">
        <x:v>演示商品（标题/价格/主图来自淘宝搜索页，颜色/尺码/面料为人工规范化补齐）</x:v>
      </x:c>
      <x:c r="K47" s="81" t="str">
        <x:v>SKU_895116684374.webp</x:v>
      </x:c>
      <x:c r="L47" s="81" t="str">
        <x:v>西裤/SKU_895116684374.webp</x:v>
      </x:c>
      <x:c r="M47" s="92" t="n">
        <x:v>895116684374</x:v>
      </x:c>
      <x:c r="N47" s="81" t="str">
        <x:v>Stay the Night立体工字褶A字廓形弯刀TR西裤通勤休闲裤</x:v>
      </x:c>
      <x:c r="O47" s="81" t="str">
        <x:v>https://item.taobao.com/item.htm?id=895116684374</x:v>
      </x:c>
      <x:c r="P47" s="81" t="str">
        <x:v>淘宝搜索页主图</x:v>
      </x:c>
      <x:c r="Q47" s="81" t="str">
        <x:v>https://img.alicdn.com/img/O1CN01Y3RIgk1R1rlw4CkeZ_!!2217295072052.jpg</x:v>
      </x:c>
      <x:c r="R47" s="81" t="str">
        <x:v>扩展批次：基础类别</x:v>
      </x:c>
    </x:row>
    <x:row r="48" ht="26" customHeight="1">
      <x:c r="A48" s="81" t="str">
        <x:v>黑色立褶微喇弹力西裤</x:v>
      </x:c>
      <x:c r="B48" s="81" t="str">
        <x:v>下装</x:v>
      </x:c>
      <x:c r="C48" s="81" t="str">
        <x:v>西裤</x:v>
      </x:c>
      <x:c r="D48" s="81" t="str">
        <x:v>黑色</x:v>
      </x:c>
      <x:c r="E48" s="81" t="str">
        <x:v>28/29/30/31/32/33/34</x:v>
      </x:c>
      <x:c r="F48" s="82" t="n">
        <x:v>329</x:v>
      </x:c>
      <x:c r="G48" s="81" t="str">
        <x:v>抗皱弹力面料，立褶微喇版型</x:v>
      </x:c>
      <x:c r="H48" s="81" t="str">
        <x:v>黑色立褶微喇弹力西裤，抗皱弹力面料，立褶微喇版型</x:v>
      </x:c>
      <x:c r="I48" s="81" t="str">
        <x:v>长裤</x:v>
      </x:c>
      <x:c r="J48" s="81" t="str">
        <x:v>演示商品（标题/价格/主图来自淘宝搜索页，颜色/尺码/面料为人工规范化补齐）</x:v>
      </x:c>
      <x:c r="K48" s="81" t="str">
        <x:v>SKU_779219876452.webp</x:v>
      </x:c>
      <x:c r="L48" s="81" t="str">
        <x:v>西裤/SKU_779219876452.webp</x:v>
      </x:c>
      <x:c r="M48" s="92" t="n">
        <x:v>779219876452</x:v>
      </x:c>
      <x:c r="N48" s="81" t="str">
        <x:v>【林秋楠同款】haonanhuang立褶微喇抗皱弹力西裤男女</x:v>
      </x:c>
      <x:c r="O48" s="81" t="str">
        <x:v>https://item.taobao.com/item.htm?id=779219876452</x:v>
      </x:c>
      <x:c r="P48" s="81" t="str">
        <x:v>淘宝搜索页主图</x:v>
      </x:c>
      <x:c r="Q48" s="81" t="str">
        <x:v>https://img.alicdn.com/img/i1/833010141/O1CN01EfTqNl1CucnTbaReM_!!0-saturn_solar.jpg</x:v>
      </x:c>
      <x:c r="R48" s="81" t="str">
        <x:v>扩展批次：基础类别</x:v>
      </x:c>
    </x:row>
    <x:row r="49" ht="26" customHeight="1">
      <x:c r="A49" s="81" t="str">
        <x:v>深咖多口袋直筒工装裤</x:v>
      </x:c>
      <x:c r="B49" s="81" t="str">
        <x:v>下装</x:v>
      </x:c>
      <x:c r="C49" s="81" t="str">
        <x:v>工装裤</x:v>
      </x:c>
      <x:c r="D49" s="81" t="str">
        <x:v>深咖</x:v>
      </x:c>
      <x:c r="E49" s="81" t="str">
        <x:v>29/30/31/32/33/34</x:v>
      </x:c>
      <x:c r="F49" s="82" t="n">
        <x:v>218</x:v>
      </x:c>
      <x:c r="G49" s="81" t="str">
        <x:v>厚实纯棉，宽松多口袋版型</x:v>
      </x:c>
      <x:c r="H49" s="81" t="str">
        <x:v>深咖多口袋直筒工装裤，厚实纯棉，宽松多口袋版型</x:v>
      </x:c>
      <x:c r="I49" s="81" t="str">
        <x:v>长裤</x:v>
      </x:c>
      <x:c r="J49" s="81" t="str">
        <x:v>演示商品（标题/价格/主图来自淘宝搜索页，颜色/尺码/面料为人工规范化补齐）</x:v>
      </x:c>
      <x:c r="K49" s="81" t="str">
        <x:v>SKU_1069035321066.webp</x:v>
      </x:c>
      <x:c r="L49" s="81" t="str">
        <x:v>工装裤/SKU_1069035321066.webp</x:v>
      </x:c>
      <x:c r="M49" s="92" t="n">
        <x:v>1069035321066</x:v>
      </x:c>
      <x:c r="N49" s="81" t="str">
        <x:v>DPX工装风纯棉多口袋工装裤男秋季宽松垂感男士男装直筒休闲裤子</x:v>
      </x:c>
      <x:c r="O49" s="81" t="str">
        <x:v>https://item.taobao.com/item.htm?id=1069035321066</x:v>
      </x:c>
      <x:c r="P49" s="81" t="str">
        <x:v>淘宝搜索页主图</x:v>
      </x:c>
      <x:c r="Q49" s="81" t="str">
        <x:v>https://img.alicdn.com/img/O1CN01gwOmmLhR1fC2vH2e_!!710919838.jpg</x:v>
      </x:c>
      <x:c r="R49" s="81" t="str">
        <x:v>混淆对2：运动裤 vs 工装裤</x:v>
      </x:c>
    </x:row>
    <x:row r="50" ht="26" customHeight="1">
      <x:c r="A50" s="81" t="str">
        <x:v>深灰速干多口袋工装裤</x:v>
      </x:c>
      <x:c r="B50" s="81" t="str">
        <x:v>下装</x:v>
      </x:c>
      <x:c r="C50" s="81" t="str">
        <x:v>工装裤</x:v>
      </x:c>
      <x:c r="D50" s="81" t="str">
        <x:v>深灰</x:v>
      </x:c>
      <x:c r="E50" s="81" t="str">
        <x:v>29/30/31/32/33/34</x:v>
      </x:c>
      <x:c r="F50" s="82" t="n">
        <x:v>299</x:v>
      </x:c>
      <x:c r="G50" s="81" t="str">
        <x:v>速干梭织面料，宽松直筒版型</x:v>
      </x:c>
      <x:c r="H50" s="81" t="str">
        <x:v>深灰速干多口袋工装裤，速干梭织面料，宽松直筒版型</x:v>
      </x:c>
      <x:c r="I50" s="81" t="str">
        <x:v>长裤</x:v>
      </x:c>
      <x:c r="J50" s="81" t="str">
        <x:v>演示商品（标题/价格/主图来自淘宝搜索页，颜色/尺码/面料为人工规范化补齐）</x:v>
      </x:c>
      <x:c r="K50" s="81" t="str">
        <x:v>SKU_1049901371372.webp</x:v>
      </x:c>
      <x:c r="L50" s="81" t="str">
        <x:v>工装裤/SKU_1049901371372.webp</x:v>
      </x:c>
      <x:c r="M50" s="92" t="n">
        <x:v>1049901371372</x:v>
      </x:c>
      <x:c r="N50" s="81" t="str">
        <x:v>Dickies户外速干冲锋工装裤男士2026秋季新款宽松直筒休闲长裤子</x:v>
      </x:c>
      <x:c r="O50" s="81" t="str">
        <x:v>https://item.taobao.com/item.htm?id=1049901371372</x:v>
      </x:c>
      <x:c r="P50" s="81" t="str">
        <x:v>淘宝搜索页主图</x:v>
      </x:c>
      <x:c r="Q50" s="81" t="str">
        <x:v>https://img.alicdn.com/img/O1CN01myfTrv2HMLb7GWjd0_!!4611686018427380208-0-item_pic.jpg</x:v>
      </x:c>
      <x:c r="R50" s="81" t="str">
        <x:v>混淆对2：运动裤 vs 工装裤</x:v>
      </x:c>
    </x:row>
    <x:row r="51" ht="26" customHeight="1">
      <x:c r="A51" s="81" t="str">
        <x:v>米白高腰阔腿运动卫裤</x:v>
      </x:c>
      <x:c r="B51" s="81" t="str">
        <x:v>下装</x:v>
      </x:c>
      <x:c r="C51" s="81" t="str">
        <x:v>运动裤</x:v>
      </x:c>
      <x:c r="D51" s="81" t="str">
        <x:v>米白</x:v>
      </x:c>
      <x:c r="E51" s="81" t="str">
        <x:v>M/L/XL/2XL</x:v>
      </x:c>
      <x:c r="F51" s="82" t="n">
        <x:v>129</x:v>
      </x:c>
      <x:c r="G51" s="81" t="str">
        <x:v>空气层针织面料，高腰阔腿版型</x:v>
      </x:c>
      <x:c r="H51" s="81" t="str">
        <x:v>米白高腰阔腿运动卫裤，空气层针织面料，高腰阔腿版型</x:v>
      </x:c>
      <x:c r="I51" s="81" t="str">
        <x:v>长裤</x:v>
      </x:c>
      <x:c r="J51" s="81" t="str">
        <x:v>演示商品（标题/价格/主图来自淘宝搜索页，颜色/尺码/面料为人工规范化补齐）</x:v>
      </x:c>
      <x:c r="K51" s="81" t="str">
        <x:v>SKU_953861253509.webp</x:v>
      </x:c>
      <x:c r="L51" s="81" t="str">
        <x:v>运动裤/SKU_953861253509.webp</x:v>
      </x:c>
      <x:c r="M51" s="92" t="n">
        <x:v>953861253509</x:v>
      </x:c>
      <x:c r="N51" s="81" t="str">
        <x:v>UTIMUS老钱风空气层弯刀裤男新款美式宽松休闲阔腿裤高腰直筒卫裤</x:v>
      </x:c>
      <x:c r="O51" s="81" t="str">
        <x:v>https://item.taobao.com/item.htm?id=953861253509</x:v>
      </x:c>
      <x:c r="P51" s="81" t="str">
        <x:v>淘宝搜索页主图</x:v>
      </x:c>
      <x:c r="Q51" s="81" t="str">
        <x:v>https://img.alicdn.com/img/O1CN01K7DImm28sYuQ4JAbA_!!2213262457988.jpg</x:v>
      </x:c>
      <x:c r="R51" s="81" t="str">
        <x:v>混淆对2：运动裤 vs 工装裤</x:v>
      </x:c>
    </x:row>
    <x:row r="52" ht="26" customHeight="1">
      <x:c r="A52" s="81" t="str">
        <x:v>黑色弯刀直筒运动卫裤</x:v>
      </x:c>
      <x:c r="B52" s="81" t="str">
        <x:v>下装</x:v>
      </x:c>
      <x:c r="C52" s="81" t="str">
        <x:v>运动裤</x:v>
      </x:c>
      <x:c r="D52" s="81" t="str">
        <x:v>黑色</x:v>
      </x:c>
      <x:c r="E52" s="81" t="str">
        <x:v>M/L/XL/2XL</x:v>
      </x:c>
      <x:c r="F52" s="82" t="n">
        <x:v>99</x:v>
      </x:c>
      <x:c r="G52" s="81" t="str">
        <x:v>针织卫裤面料，宽松弯刀版型</x:v>
      </x:c>
      <x:c r="H52" s="81" t="str">
        <x:v>黑色弯刀直筒运动卫裤，针织卫裤面料，宽松弯刀版型</x:v>
      </x:c>
      <x:c r="I52" s="81" t="str">
        <x:v>长裤</x:v>
      </x:c>
      <x:c r="J52" s="81" t="str">
        <x:v>演示商品（标题/价格/主图来自淘宝搜索页，颜色/尺码/面料为人工规范化补齐）</x:v>
      </x:c>
      <x:c r="K52" s="81" t="str">
        <x:v>SKU_979910134524.webp</x:v>
      </x:c>
      <x:c r="L52" s="81" t="str">
        <x:v>运动裤/SKU_979910134524.webp</x:v>
      </x:c>
      <x:c r="M52" s="92" t="n">
        <x:v>979910134524</x:v>
      </x:c>
      <x:c r="N52" s="81" t="str">
        <x:v>GENIOLAMODE美式弯刀运动卫裤男士秋季新款宽松休闲直筒长裤</x:v>
      </x:c>
      <x:c r="O52" s="81" t="str">
        <x:v>https://item.taobao.com/item.htm?id=979910134524</x:v>
      </x:c>
      <x:c r="P52" s="81" t="str">
        <x:v>淘宝搜索页主图</x:v>
      </x:c>
      <x:c r="Q52" s="81" t="str">
        <x:v>https://img.alicdn.com/img/O1CN01tzhfkO2CdgUkPaXbF_!!4611686018427387233-0-item_pic.jpg</x:v>
      </x:c>
      <x:c r="R52" s="81" t="str">
        <x:v>混淆对2：运动裤 vs 工装裤</x:v>
      </x:c>
    </x:row>
    <x:row r="53" ht="26" customHeight="1">
      <x:c r="A53" s="81" t="str">
        <x:v>浅蓝水洗七分牛仔短裤</x:v>
      </x:c>
      <x:c r="B53" s="81" t="str">
        <x:v>下装</x:v>
      </x:c>
      <x:c r="C53" s="81" t="str">
        <x:v>短裤</x:v>
      </x:c>
      <x:c r="D53" s="81" t="str">
        <x:v>浅蓝</x:v>
      </x:c>
      <x:c r="E53" s="81" t="str">
        <x:v>28/29/30/31/32/33/34</x:v>
      </x:c>
      <x:c r="F53" s="82" t="n">
        <x:v>84.9</x:v>
      </x:c>
      <x:c r="G53" s="81" t="str">
        <x:v>轻薄水洗丹宁，宽松弯刀版型</x:v>
      </x:c>
      <x:c r="H53" s="81" t="str">
        <x:v>浅蓝水洗七分牛仔短裤，轻薄水洗丹宁，宽松弯刀版型</x:v>
      </x:c>
      <x:c r="I53" s="81" t="str">
        <x:v>七分</x:v>
      </x:c>
      <x:c r="J53" s="81" t="str">
        <x:v>演示商品（标题/价格/主图来自淘宝搜索页，颜色/尺码/面料为人工规范化补齐）</x:v>
      </x:c>
      <x:c r="K53" s="81" t="str">
        <x:v>SKU_1046530894518.webp</x:v>
      </x:c>
      <x:c r="L53" s="81" t="str">
        <x:v>短裤/SKU_1046530894518.webp</x:v>
      </x:c>
      <x:c r="M53" s="92" t="n">
        <x:v>1046530894518</x:v>
      </x:c>
      <x:c r="N53" s="81" t="str">
        <x:v>美式复古褶皱弯刀七分牛仔裤男生夏季2026宽松直筒vibe高街阔腿裤</x:v>
      </x:c>
      <x:c r="O53" s="81" t="str">
        <x:v>https://item.taobao.com/item.htm?id=1046530894518</x:v>
      </x:c>
      <x:c r="P53" s="81" t="str">
        <x:v>淘宝搜索页主图</x:v>
      </x:c>
      <x:c r="Q53" s="81" t="str">
        <x:v>https://img.alicdn.com/img/O1CN01i2gekQ1p6UdrpgI2g_!!4611686018427383983-0-item_pic.jpg</x:v>
      </x:c>
      <x:c r="R53" s="81" t="str">
        <x:v>混淆对3：短裤 vs 七分裤</x:v>
      </x:c>
    </x:row>
    <x:row r="54" ht="26" customHeight="1">
      <x:c r="A54" s="81" t="str">
        <x:v>酒红速干跑步运动短裤</x:v>
      </x:c>
      <x:c r="B54" s="81" t="str">
        <x:v>下装</x:v>
      </x:c>
      <x:c r="C54" s="81" t="str">
        <x:v>短裤</x:v>
      </x:c>
      <x:c r="D54" s="81" t="str">
        <x:v>酒红</x:v>
      </x:c>
      <x:c r="E54" s="81" t="str">
        <x:v>M/L/XL/2XL</x:v>
      </x:c>
      <x:c r="F54" s="82" t="n">
        <x:v>169</x:v>
      </x:c>
      <x:c r="G54" s="81" t="str">
        <x:v>弹力速干面料，宽松四分版型</x:v>
      </x:c>
      <x:c r="H54" s="81" t="str">
        <x:v>酒红速干跑步运动短裤，弹力速干面料，宽松四分版型</x:v>
      </x:c>
      <x:c r="I54" s="81" t="str">
        <x:v>短裤</x:v>
      </x:c>
      <x:c r="J54" s="81" t="str">
        <x:v>演示商品（标题/价格/主图来自淘宝搜索页，颜色/尺码/面料为人工规范化补齐）</x:v>
      </x:c>
      <x:c r="K54" s="81" t="str">
        <x:v>SKU_1020973765122.webp</x:v>
      </x:c>
      <x:c r="L54" s="81" t="str">
        <x:v>短裤/SKU_1020973765122.webp</x:v>
      </x:c>
      <x:c r="M54" s="92" t="n">
        <x:v>1020973765122</x:v>
      </x:c>
      <x:c r="N54" s="81" t="str">
        <x:v>肌肉狗【跑训一体】速干运动短裤男新品弹力跑步HYROX健身四分裤</x:v>
      </x:c>
      <x:c r="O54" s="81" t="str">
        <x:v>https://item.taobao.com/item.htm?id=1020973765122</x:v>
      </x:c>
      <x:c r="P54" s="81" t="str">
        <x:v>淘宝搜索页主图</x:v>
      </x:c>
      <x:c r="Q54" s="81" t="str">
        <x:v>https://img.alicdn.com/img/O1CN01jtQIIu9imQB1chua_!!3316708141.jpg</x:v>
      </x:c>
      <x:c r="R54" s="81" t="str">
        <x:v>混淆对3：短裤 vs 七分裤</x:v>
      </x:c>
    </x:row>
  </x:sheetData>
  <x:mergeCells>
    <x:mergeCell ref="A1:R1"/>
    <x:mergeCell ref="A2:R2"/>
  </x:mergeCells>
  <x:dataValidations count="5">
    <x:dataValidation type="list" sqref="B5:B34">
      <x:formula1>"上装,下装"</x:formula1>
    </x:dataValidation>
    <x:dataValidation type="list" sqref="C5:C34">
      <x:formula1>"T恤,衬衫,卫衣,夹克,羽绒棉服,牛仔裤,休闲长裤,西裤,工装裤,运动裤,短裤"</x:formula1>
    </x:dataValidation>
    <x:dataValidation type="list" sqref="I5:I34">
      <x:formula1>"长裤,九分,七分,短裤"</x:formula1>
    </x:dataValidation>
    <x:dataValidation type="list" sqref="B5:B54">
      <x:formula1>"上装,下装"</x:formula1>
    </x:dataValidation>
    <x:dataValidation type="list" sqref="C5:C54">
      <x:formula1>"T恤,衬衫,卫衣,夹克,羽绒棉服,牛仔裤,休闲长裤,西裤,工装裤,运动裤,短裤"</x:formula1>
    </x:dataValidation>
  </x:dataValidations>
  <x:pageMargins left="0.7" right="0.7" top="0.75" bottom="0.75" header="0.3" footer="0.3"/>
  <x:tableParts count="1">
    <x:tablePart xmlns:r="http://schemas.openxmlformats.org/officeDocument/2006/relationships" r:id="R3fe7e0e573b04cd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52" hidden="0" customWidth="1"/>
    <x:col min="4" max="4" width="4" hidden="0" customWidth="1"/>
    <x:col min="5" max="5" width="16" hidden="0" customWidth="1"/>
    <x:col min="6" max="6" width="60" hidden="0" customWidth="1"/>
  </x:cols>
  <x:sheetData>
    <x:row r="1" ht="30" customHeight="1">
      <x:c r="A1" s="43" t="str">
        <x:v>人工标签口径与验收提示</x:v>
      </x:c>
      <x:c r="B1" s="43"/>
      <x:c r="C1" s="43"/>
      <x:c r="D1" s="43"/>
      <x:c r="E1" s="43"/>
      <x:c r="F1" s="43"/>
    </x:row>
    <x:row r="3">
      <x:c r="A3" s="45" t="str">
        <x:v>一级分类</x:v>
      </x:c>
      <x:c r="B3" s="45" t="str">
        <x:v>二级分类</x:v>
      </x:c>
      <x:c r="C3" s="45" t="str">
        <x:v>判断口径</x:v>
      </x:c>
      <x:c r="E3" s="49" t="str">
        <x:v>评测重点</x:v>
      </x:c>
      <x:c r="F3" s="49" t="str">
        <x:v>说明</x:v>
      </x:c>
    </x:row>
    <x:row r="4" ht="30" customHeight="1">
      <x:c r="A4" s="35" t="str">
        <x:v>上装</x:v>
      </x:c>
      <x:c r="B4" s="35" t="str">
        <x:v>T恤</x:v>
      </x:c>
      <x:c r="C4" s="27" t="str">
        <x:v>无扣、无领，圆领/V领，短袖为主</x:v>
      </x:c>
      <x:c r="E4" s="56" t="str">
        <x:v>混淆对 1</x:v>
      </x:c>
      <x:c r="F4" s="54" t="str">
        <x:v>牛仔裤 vs 休闲长裤：先看丹宁面料，再看版型</x:v>
      </x:c>
    </x:row>
    <x:row r="5" ht="30" customHeight="1">
      <x:c r="A5" s="37" t="str">
        <x:v>上装</x:v>
      </x:c>
      <x:c r="B5" s="37" t="str">
        <x:v>衬衫</x:v>
      </x:c>
      <x:c r="C5" s="28" t="str">
        <x:v>有领，前襟有一排扣；Polo 也按此口径归类</x:v>
      </x:c>
      <x:c r="E5" s="57" t="str">
        <x:v>混淆对 2</x:v>
      </x:c>
      <x:c r="F5" s="55" t="str">
        <x:v>运动裤 vs 工装裤：看针织/束脚，还是多口袋/厚棉布</x:v>
      </x:c>
    </x:row>
    <x:row r="6" ht="30" customHeight="1">
      <x:c r="A6" s="37" t="str">
        <x:v>上装</x:v>
      </x:c>
      <x:c r="B6" s="37" t="str">
        <x:v>卫衣</x:v>
      </x:c>
      <x:c r="C6" s="28" t="str">
        <x:v>抓绒/毛圈，套头或连帽拉链，偏休闲保暖</x:v>
      </x:c>
      <x:c r="E6" s="57" t="str">
        <x:v>混淆对 3</x:v>
      </x:c>
      <x:c r="F6" s="55" t="str">
        <x:v>短裤 vs 七分裤：二级分类看款式，长度列看裤长</x:v>
      </x:c>
    </x:row>
    <x:row r="7" ht="30" customHeight="1">
      <x:c r="A7" s="37" t="str">
        <x:v>上装</x:v>
      </x:c>
      <x:c r="B7" s="37" t="str">
        <x:v>夹克</x:v>
      </x:c>
      <x:c r="C7" s="28" t="str">
        <x:v>拉链或按扣的春秋外套，飞行/牛仔/工装夹克均可</x:v>
      </x:c>
      <x:c r="E7" s="57" t="str">
        <x:v>验收建议</x:v>
      </x:c>
      <x:c r="F7" s="55" t="str">
        <x:v>抽出约 20% 图片打乱文件名，用人工标签和模型输出对答案</x:v>
      </x:c>
    </x:row>
    <x:row r="8" ht="30" customHeight="1">
      <x:c r="A8" s="37" t="str">
        <x:v>上装</x:v>
      </x:c>
      <x:c r="B8" s="37" t="str">
        <x:v>羽绒棉服</x:v>
      </x:c>
      <x:c r="C8" s="28" t="str">
        <x:v>羽绒或棉填充的冬季厚外套</x:v>
      </x:c>
    </x:row>
    <x:row r="9" ht="30" customHeight="1">
      <x:c r="A9" s="37" t="str">
        <x:v>下装</x:v>
      </x:c>
      <x:c r="B9" s="37" t="str">
        <x:v>牛仔裤</x:v>
      </x:c>
      <x:c r="C9" s="28" t="str">
        <x:v>丹宁面料优先，颜色和版型不改变分类</x:v>
      </x:c>
    </x:row>
    <x:row r="10" ht="30" customHeight="1">
      <x:c r="A10" s="37" t="str">
        <x:v>下装</x:v>
      </x:c>
      <x:c r="B10" s="37" t="str">
        <x:v>休闲长裤</x:v>
      </x:c>
      <x:c r="C10" s="28" t="str">
        <x:v>非丹宁的日常长裤，卡其/棉麻等归此</x:v>
      </x:c>
    </x:row>
    <x:row r="11" ht="30" customHeight="1">
      <x:c r="A11" s="37" t="str">
        <x:v>下装</x:v>
      </x:c>
      <x:c r="B11" s="37" t="str">
        <x:v>西裤</x:v>
      </x:c>
      <x:c r="C11" s="28" t="str">
        <x:v>垂感正装裤型，通常与西装或商务场景搭配</x:v>
      </x:c>
    </x:row>
    <x:row r="12" ht="30" customHeight="1">
      <x:c r="A12" s="37" t="str">
        <x:v>下装</x:v>
      </x:c>
      <x:c r="B12" s="37" t="str">
        <x:v>工装裤</x:v>
      </x:c>
      <x:c r="C12" s="28" t="str">
        <x:v>大腿侧多口袋、帆布/厚实面料、宽松剪裁</x:v>
      </x:c>
    </x:row>
    <x:row r="13" ht="30" customHeight="1">
      <x:c r="A13" s="37" t="str">
        <x:v>下装</x:v>
      </x:c>
      <x:c r="B13" s="37" t="str">
        <x:v>运动裤</x:v>
      </x:c>
      <x:c r="C13" s="28" t="str">
        <x:v>针织卫裤、束脚口或抽绳腰，偏运动</x:v>
      </x:c>
    </x:row>
    <x:row r="14" ht="30" customHeight="1">
      <x:c r="A14" s="37" t="str">
        <x:v>下装</x:v>
      </x:c>
      <x:c r="B14" s="37" t="str">
        <x:v>短裤</x:v>
      </x:c>
      <x:c r="C14" s="28" t="str">
        <x:v>裤长在膝盖以上；七分/八分通过“长度”列区分</x:v>
      </x:c>
    </x:row>
  </x:sheetData>
  <x:mergeCells>
    <x:mergeCell ref="A1:F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14" hidden="0" customWidth="1"/>
    <x:col min="3" max="3" width="4" hidden="0" customWidth="1"/>
    <x:col min="4" max="4" width="4" hidden="0" customWidth="1"/>
  </x:cols>
  <x:sheetData>
    <x:row r="1" ht="30" customHeight="1">
      <x:c r="A1" s="93" t="str">
        <x:v>男装评测集统计概览</x:v>
      </x:c>
      <x:c r="B1" s="93"/>
      <x:c r="C1" s="42"/>
      <x:c r="D1" s="42"/>
    </x:row>
    <x:row r="3">
      <x:c r="A3" s="58" t="str">
        <x:v>指标</x:v>
      </x:c>
      <x:c r="B3" s="58" t="str">
        <x:v>数值</x:v>
      </x:c>
    </x:row>
    <x:row r="4" ht="24" customHeight="1">
      <x:c r="A4" s="60" t="str">
        <x:v>计划样本数</x:v>
      </x:c>
      <x:c r="B4" s="60" t="n">
        <x:f>COUNTA('商品数据'!$A$5:$A$54)</x:f>
        <x:v>50</x:v>
      </x:c>
    </x:row>
    <x:row r="5" ht="24" customHeight="1">
      <x:c r="A5" s="61" t="str">
        <x:v>已下载图片数</x:v>
      </x:c>
      <x:c r="B5" s="61" t="n">
        <x:f>COUNTA('商品数据'!$K$5:$K$54)</x:f>
        <x:v>50</x:v>
      </x:c>
    </x:row>
    <x:row r="6" ht="24" customHeight="1">
      <x:c r="A6" s="61" t="str">
        <x:v>二级分类数</x:v>
      </x:c>
      <x:c r="B6" s="61" t="n">
        <x:f>COUNTA(A10:A20)</x:f>
        <x:v>11</x:v>
      </x:c>
    </x:row>
    <x:row r="7" ht="24" customHeight="1"/>
    <x:row r="8" ht="24" customHeight="1"/>
    <x:row r="9" ht="24" customHeight="1">
      <x:c r="A9" s="59" t="str">
        <x:v>二级分类</x:v>
      </x:c>
      <x:c r="B9" s="59" t="str">
        <x:v>样本数</x:v>
      </x:c>
    </x:row>
    <x:row r="10" ht="24" customHeight="1">
      <x:c r="A10" s="62" t="str">
        <x:v>T恤</x:v>
      </x:c>
      <x:c r="B10" s="62" t="n">
        <x:f>COUNTIF('商品数据'!$C$5:$C$54,A10)</x:f>
        <x:v>5</x:v>
      </x:c>
    </x:row>
    <x:row r="11" ht="24" customHeight="1">
      <x:c r="A11" s="63" t="str">
        <x:v>衬衫</x:v>
      </x:c>
      <x:c r="B11" s="63" t="n">
        <x:f>COUNTIF('商品数据'!$C$5:$C$54,A11)</x:f>
        <x:v>5</x:v>
      </x:c>
    </x:row>
    <x:row r="12" ht="24" customHeight="1">
      <x:c r="A12" s="63" t="str">
        <x:v>卫衣</x:v>
      </x:c>
      <x:c r="B12" s="63" t="n">
        <x:f>COUNTIF('商品数据'!$C$5:$C$54,A12)</x:f>
        <x:v>4</x:v>
      </x:c>
    </x:row>
    <x:row r="13" ht="24" customHeight="1">
      <x:c r="A13" s="63" t="str">
        <x:v>夹克</x:v>
      </x:c>
      <x:c r="B13" s="63" t="n">
        <x:f>COUNTIF('商品数据'!$C$5:$C$54,A13)</x:f>
        <x:v>5</x:v>
      </x:c>
    </x:row>
    <x:row r="14" ht="24" customHeight="1">
      <x:c r="A14" s="63" t="str">
        <x:v>羽绒棉服</x:v>
      </x:c>
      <x:c r="B14" s="63" t="n">
        <x:f>COUNTIF('商品数据'!$C$5:$C$54,A14)</x:f>
        <x:v>3</x:v>
      </x:c>
    </x:row>
    <x:row r="15" ht="24" customHeight="1">
      <x:c r="A15" s="63" t="str">
        <x:v>牛仔裤</x:v>
      </x:c>
      <x:c r="B15" s="63" t="n">
        <x:f>COUNTIF('商品数据'!$C$5:$C$54,A15)</x:f>
        <x:v>5</x:v>
      </x:c>
    </x:row>
    <x:row r="16" ht="24" customHeight="1">
      <x:c r="A16" s="63" t="str">
        <x:v>休闲长裤</x:v>
      </x:c>
      <x:c r="B16" s="63" t="n">
        <x:f>COUNTIF('商品数据'!$C$5:$C$54,A16)</x:f>
        <x:v>4</x:v>
      </x:c>
    </x:row>
    <x:row r="17" ht="24" customHeight="1">
      <x:c r="A17" s="63" t="str">
        <x:v>西裤</x:v>
      </x:c>
      <x:c r="B17" s="63" t="n">
        <x:f>COUNTIF('商品数据'!$C$5:$C$54,A17)</x:f>
        <x:v>5</x:v>
      </x:c>
    </x:row>
    <x:row r="18" ht="24" customHeight="1">
      <x:c r="A18" s="63" t="str">
        <x:v>工装裤</x:v>
      </x:c>
      <x:c r="B18" s="63" t="n">
        <x:f>COUNTIF('商品数据'!$C$5:$C$54,A18)</x:f>
        <x:v>5</x:v>
      </x:c>
    </x:row>
    <x:row r="19" ht="24" customHeight="1">
      <x:c r="A19" s="63" t="str">
        <x:v>运动裤</x:v>
      </x:c>
      <x:c r="B19" s="63" t="n">
        <x:f>COUNTIF('商品数据'!$C$5:$C$54,A19)</x:f>
        <x:v>4</x:v>
      </x:c>
    </x:row>
    <x:row r="20" ht="24" customHeight="1">
      <x:c r="A20" s="63" t="str">
        <x:v>短裤</x:v>
      </x:c>
      <x:c r="B20" s="63" t="n">
        <x:f>COUNTIF('商品数据'!$C$5:$C$54,A20)</x:f>
        <x:v>5</x:v>
      </x:c>
    </x:row>
  </x:sheetData>
  <x:mergeCells>
    <x:mergeCell ref="A1:B1"/>
  </x:mergeCells>
  <x:pageMargins left="0.7" right="0.7" top="0.75" bottom="0.75" header="0.3" footer="0.3"/>
</x:worksheet>
</file>